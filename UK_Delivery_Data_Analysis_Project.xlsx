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6293\Downloads\"/>
    </mc:Choice>
  </mc:AlternateContent>
  <xr:revisionPtr revIDLastSave="0" documentId="13_ncr:1_{88DD1586-7685-4E97-A342-22AE95521E82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KPI_SummaryKPI_x0009_Value" sheetId="7" r:id="rId1"/>
    <sheet name="Sheet3" sheetId="8" r:id="rId2"/>
    <sheet name="Daily_Deliveries" sheetId="1" r:id="rId3"/>
    <sheet name="Cost_Details" sheetId="2" r:id="rId4"/>
    <sheet name="Sheet4" sheetId="9" r:id="rId5"/>
    <sheet name="Revenue_Details" sheetId="3" r:id="rId6"/>
    <sheet name="Vehicle_Master" sheetId="4" r:id="rId7"/>
    <sheet name="Driver_Master" sheetId="5" r:id="rId8"/>
    <sheet name="Master_Lists" sheetId="6" r:id="rId9"/>
  </sheets>
  <calcPr calcId="191029"/>
  <pivotCaches>
    <pivotCache cacheId="3" r:id="rId10"/>
    <pivotCache cacheId="6" r:id="rId11"/>
  </pivotCaches>
</workbook>
</file>

<file path=xl/calcChain.xml><?xml version="1.0" encoding="utf-8"?>
<calcChain xmlns="http://schemas.openxmlformats.org/spreadsheetml/2006/main">
  <c r="B3" i="7" l="1"/>
  <c r="B8" i="7"/>
  <c r="B7" i="7"/>
  <c r="B6" i="7"/>
  <c r="B5" i="7"/>
  <c r="B4" i="7"/>
  <c r="B2" i="7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2" i="3"/>
  <c r="I2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2" i="2"/>
</calcChain>
</file>

<file path=xl/sharedStrings.xml><?xml version="1.0" encoding="utf-8"?>
<sst xmlns="http://schemas.openxmlformats.org/spreadsheetml/2006/main" count="2216" uniqueCount="304">
  <si>
    <t>Date</t>
  </si>
  <si>
    <t>Order_ID</t>
  </si>
  <si>
    <t>City</t>
  </si>
  <si>
    <t>Region</t>
  </si>
  <si>
    <t>Service_Type</t>
  </si>
  <si>
    <t>Vehicle_Type</t>
  </si>
  <si>
    <t>Fuel_Type</t>
  </si>
  <si>
    <t>Distance_km</t>
  </si>
  <si>
    <t>Load_Type</t>
  </si>
  <si>
    <t>Delivery_Time_hr</t>
  </si>
  <si>
    <t>Delivery_Status</t>
  </si>
  <si>
    <t>Driver_ID</t>
  </si>
  <si>
    <t>O0001</t>
  </si>
  <si>
    <t>Edinburgh</t>
  </si>
  <si>
    <t>Scotland</t>
  </si>
  <si>
    <t>Same-Day Delivery</t>
  </si>
  <si>
    <t>Small Truck</t>
  </si>
  <si>
    <t>Diesel</t>
  </si>
  <si>
    <t>Heavy</t>
  </si>
  <si>
    <t>Delayed</t>
  </si>
  <si>
    <t>D015</t>
  </si>
  <si>
    <t>O0002</t>
  </si>
  <si>
    <t>Belfast</t>
  </si>
  <si>
    <t>Northern Ireland</t>
  </si>
  <si>
    <t>Parcel Delivery</t>
  </si>
  <si>
    <t>Pickup</t>
  </si>
  <si>
    <t>Petrol</t>
  </si>
  <si>
    <t>Medium</t>
  </si>
  <si>
    <t>D014</t>
  </si>
  <si>
    <t>O0003</t>
  </si>
  <si>
    <t>Glasgow</t>
  </si>
  <si>
    <t>Motorcycle</t>
  </si>
  <si>
    <t>Cancelled</t>
  </si>
  <si>
    <t>O0004</t>
  </si>
  <si>
    <t>Completed</t>
  </si>
  <si>
    <t>O0005</t>
  </si>
  <si>
    <t>London</t>
  </si>
  <si>
    <t>England</t>
  </si>
  <si>
    <t>Office Shifting</t>
  </si>
  <si>
    <t>D002</t>
  </si>
  <si>
    <t>O0006</t>
  </si>
  <si>
    <t>Liverpool</t>
  </si>
  <si>
    <t>Medium Truck</t>
  </si>
  <si>
    <t>D005</t>
  </si>
  <si>
    <t>O0007</t>
  </si>
  <si>
    <t>Cardiff</t>
  </si>
  <si>
    <t>Wales</t>
  </si>
  <si>
    <t>D011</t>
  </si>
  <si>
    <t>O0008</t>
  </si>
  <si>
    <t>House Shifting</t>
  </si>
  <si>
    <t>Light</t>
  </si>
  <si>
    <t>D004</t>
  </si>
  <si>
    <t>O0009</t>
  </si>
  <si>
    <t>Birmingham</t>
  </si>
  <si>
    <t>Fragile Items Delivery</t>
  </si>
  <si>
    <t>Luton Van</t>
  </si>
  <si>
    <t>O0010</t>
  </si>
  <si>
    <t>Manchester</t>
  </si>
  <si>
    <t>D009</t>
  </si>
  <si>
    <t>O0011</t>
  </si>
  <si>
    <t>D007</t>
  </si>
  <si>
    <t>O0012</t>
  </si>
  <si>
    <t>Leeds</t>
  </si>
  <si>
    <t>O0013</t>
  </si>
  <si>
    <t>O0014</t>
  </si>
  <si>
    <t>D008</t>
  </si>
  <si>
    <t>O0015</t>
  </si>
  <si>
    <t>Van</t>
  </si>
  <si>
    <t>O0016</t>
  </si>
  <si>
    <t>Furniture Moving</t>
  </si>
  <si>
    <t>D006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</si>
  <si>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</si>
  <si>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</si>
  <si>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</si>
  <si>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</si>
  <si>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</si>
  <si>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</si>
  <si>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</si>
  <si>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</si>
  <si>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D001</t>
  </si>
  <si>
    <t>O0025</t>
  </si>
  <si>
    <t>O0026</t>
  </si>
  <si>
    <t>D003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</si>
  <si>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</si>
  <si>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</si>
  <si>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</si>
  <si>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</si>
  <si>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</si>
  <si>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</si>
  <si>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</si>
  <si>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</si>
  <si>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</si>
  <si>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</si>
  <si>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</si>
  <si>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</si>
  <si>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D013</t>
  </si>
  <si>
    <t>O0039</t>
  </si>
  <si>
    <t>O0040</t>
  </si>
  <si>
    <t>Bristol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</si>
  <si>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</si>
  <si>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</si>
  <si>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</si>
  <si>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</si>
  <si>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</si>
  <si>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</si>
  <si>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</si>
  <si>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</si>
  <si>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</si>
  <si>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</si>
  <si>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</si>
  <si>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</si>
  <si>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</si>
  <si>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</si>
  <si>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</si>
  <si>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</si>
  <si>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</si>
  <si>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</si>
  <si>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</si>
  <si>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</si>
  <si>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</si>
  <si>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</si>
  <si>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</si>
  <si>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</si>
  <si>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</si>
  <si>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D010</t>
  </si>
  <si>
    <t>O0066</t>
  </si>
  <si>
    <t>O0067</t>
  </si>
  <si>
    <t>O0068</t>
  </si>
  <si>
    <t>D012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</si>
  <si>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</si>
  <si>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</si>
  <si>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</si>
  <si>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</si>
  <si>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</si>
  <si>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</si>
  <si>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</si>
  <si>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</si>
  <si>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</si>
  <si>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</si>
  <si>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</si>
  <si>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</si>
  <si>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</si>
  <si>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</si>
  <si>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</si>
  <si>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</si>
  <si>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</si>
  <si>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</si>
  <si>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</si>
  <si>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</si>
  <si>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</si>
  <si>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</si>
  <si>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</si>
  <si>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</si>
  <si>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</si>
  <si>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</si>
  <si>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</si>
  <si>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</si>
  <si>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</si>
  <si>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</si>
  <si>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</si>
  <si>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</si>
  <si>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</si>
  <si>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</si>
  <si>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</si>
  <si>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</si>
  <si>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</si>
  <si>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</si>
  <si>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</si>
  <si>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</si>
  <si>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</si>
  <si>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</si>
  <si>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</si>
  <si>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</si>
  <si>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</si>
  <si>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</si>
  <si>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</si>
  <si>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</si>
  <si>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</si>
  <si>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</si>
  <si>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</si>
  <si>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</si>
  <si>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</si>
  <si>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</si>
  <si>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</si>
  <si>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</si>
  <si>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</si>
  <si>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</si>
  <si>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</si>
  <si>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</si>
  <si>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</si>
  <si>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</si>
  <si>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</si>
  <si>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</si>
  <si>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</si>
  <si>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</si>
  <si>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</si>
  <si>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</si>
  <si>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</si>
  <si>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</si>
  <si>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</si>
  <si>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</si>
  <si>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</si>
  <si>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</si>
  <si>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</si>
  <si>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</si>
  <si>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</si>
  <si>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</si>
  <si>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</si>
  <si>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</si>
  <si>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</si>
  <si>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</si>
  <si>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</si>
  <si>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</si>
  <si>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</si>
  <si>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</si>
  <si>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</si>
  <si>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</si>
  <si>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</si>
  <si>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</si>
  <si>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</si>
  <si>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</si>
  <si>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</si>
  <si>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</si>
  <si>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</si>
  <si>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</si>
  <si>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</si>
  <si>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</si>
  <si>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</si>
  <si>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</si>
  <si>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</si>
  <si>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</si>
  <si>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</si>
  <si>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</si>
  <si>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</si>
  <si>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</si>
  <si>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</si>
  <si>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</si>
  <si>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</si>
  <si>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</si>
  <si>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</si>
  <si>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</si>
  <si>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Fuel_Cost</t>
  </si>
  <si>
    <t>Driver_Wage</t>
  </si>
  <si>
    <t>Helper_Wage</t>
  </si>
  <si>
    <t>Maintenance</t>
  </si>
  <si>
    <t>Toll</t>
  </si>
  <si>
    <t>Parking</t>
  </si>
  <si>
    <t>Other_Cost</t>
  </si>
  <si>
    <t>Total_Cost</t>
  </si>
  <si>
    <t>Base_Charge</t>
  </si>
  <si>
    <t>Distance_Charge</t>
  </si>
  <si>
    <t>Load_Charge</t>
  </si>
  <si>
    <t>Urgency_Charge</t>
  </si>
  <si>
    <t>Discount</t>
  </si>
  <si>
    <t>Net_Revenue</t>
  </si>
  <si>
    <t>Vehicle_ID</t>
  </si>
  <si>
    <t>Ownership</t>
  </si>
  <si>
    <t>Capacity_kg</t>
  </si>
  <si>
    <t>V001</t>
  </si>
  <si>
    <t>Company Owned</t>
  </si>
  <si>
    <t>V002</t>
  </si>
  <si>
    <t>Rented</t>
  </si>
  <si>
    <t>V003</t>
  </si>
  <si>
    <t>Leased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</si>
  <si>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</si>
  <si>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</si>
  <si>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</si>
  <si>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</si>
  <si>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</si>
  <si>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</si>
  <si>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</si>
  <si>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</si>
  <si>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</si>
  <si>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</si>
  <si>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</si>
  <si>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</si>
  <si>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</si>
  <si>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</si>
  <si>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</si>
  <si>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</si>
  <si>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</si>
  <si>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Driver_Type</t>
  </si>
  <si>
    <t>Rating</t>
  </si>
  <si>
    <t>Full-Time</t>
  </si>
  <si>
    <t>Contract</t>
  </si>
  <si>
    <t>Part-Time</t>
  </si>
  <si>
    <t>Large Truck</t>
  </si>
  <si>
    <t>Electric</t>
  </si>
  <si>
    <t>Hybrid</t>
  </si>
  <si>
    <t>Returned</t>
  </si>
  <si>
    <t>Rescheduled</t>
  </si>
  <si>
    <t>KPI</t>
  </si>
  <si>
    <t>Value</t>
  </si>
  <si>
    <t>Total Orders</t>
  </si>
  <si>
    <t>Total Revenue</t>
  </si>
  <si>
    <t>Total Cost</t>
  </si>
  <si>
    <t>Total Profit</t>
  </si>
  <si>
    <t>Average Cost per Order</t>
  </si>
  <si>
    <t>On-Time Delivery %</t>
  </si>
  <si>
    <t>Average Delivery Time (hrs)</t>
  </si>
  <si>
    <t>Row Labels</t>
  </si>
  <si>
    <t>(blank)</t>
  </si>
  <si>
    <t>Grand Total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</si>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</sst>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1" formatCode="0.0"/>
    <numFmt numFmtId="172" formatCode="[$£-8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71" fontId="0" fillId="0" borderId="0" xfId="0" applyNumberFormat="1"/>
    <xf numFmtId="172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hmad" refreshedDate="46033.110615162041" createdVersion="8" refreshedVersion="8" minRefreshableVersion="3" recordCount="181" xr:uid="{A987B1B5-5FD6-4260-B862-E4205C403793}">
  <cacheSource type="worksheet">
    <worksheetSource ref="A1:L1048576" sheet="Daily_Deliveries"/>
  </cacheSource>
  <cacheFields count="12">
    <cacheField name="Date" numFmtId="0">
      <sharedItems containsNonDate="0" containsDate="1" containsString="0" containsBlank="1" minDate="2025-01-01T00:00:00" maxDate="2025-04-01T00:00:00"/>
    </cacheField>
    <cacheField name="Order_ID" numFmtId="0">
      <sharedItems containsBlank="1"/>
    </cacheField>
    <cacheField name="City" numFmtId="0">
      <sharedItems containsBlank="1" count="11">
        <s v="Edinburgh"/>
        <s v="Belfast"/>
        <s v="Glasgow"/>
        <s v="London"/>
        <s v="Liverpool"/>
        <s v="Cardiff"/>
        <s v="Birmingham"/>
        <s v="Manchester"/>
        <s v="Leeds"/>
        <s v="Bristol"/>
        <m/>
      </sharedItems>
    </cacheField>
    <cacheField name="Region" numFmtId="0">
      <sharedItems containsBlank="1"/>
    </cacheField>
    <cacheField name="Service_Type" numFmtId="0">
      <sharedItems containsBlank="1"/>
    </cacheField>
    <cacheField name="Vehicle_Type" numFmtId="0">
      <sharedItems containsBlank="1"/>
    </cacheField>
    <cacheField name="Fuel_Type" numFmtId="0">
      <sharedItems containsBlank="1"/>
    </cacheField>
    <cacheField name="Distance_km" numFmtId="0">
      <sharedItems containsString="0" containsBlank="1" containsNumber="1" containsInteger="1" minValue="5" maxValue="180"/>
    </cacheField>
    <cacheField name="Load_Type" numFmtId="0">
      <sharedItems containsBlank="1"/>
    </cacheField>
    <cacheField name="Delivery_Time_hr" numFmtId="0">
      <sharedItems containsString="0" containsBlank="1" containsNumber="1" minValue="1.01" maxValue="6.47"/>
    </cacheField>
    <cacheField name="Delivery_Status" numFmtId="0">
      <sharedItems containsBlank="1"/>
    </cacheField>
    <cacheField name="Driver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hmad" refreshedDate="46033.111786805559" createdVersion="8" refreshedVersion="8" minRefreshableVersion="3" recordCount="180" xr:uid="{ACA6241B-A654-44C8-A022-875945B5377E}">
  <cacheSource type="worksheet">
    <worksheetSource ref="A1:G181" sheet="Revenue_Details"/>
  </cacheSource>
  <cacheFields count="7">
    <cacheField name="Order_ID" numFmtId="0">
      <sharedItems/>
    </cacheField>
    <cacheField name="Base_Charge" numFmtId="0">
      <sharedItems containsSemiMixedTypes="0" containsString="0" containsNumber="1" containsInteger="1" minValue="60" maxValue="200"/>
    </cacheField>
    <cacheField name="Distance_Charge" numFmtId="0">
      <sharedItems containsSemiMixedTypes="0" containsString="0" containsNumber="1" containsInteger="1" minValue="20" maxValue="120"/>
    </cacheField>
    <cacheField name="Load_Charge" numFmtId="0">
      <sharedItems containsSemiMixedTypes="0" containsString="0" containsNumber="1" containsInteger="1" minValue="10" maxValue="80"/>
    </cacheField>
    <cacheField name="Urgency_Charge" numFmtId="0">
      <sharedItems containsSemiMixedTypes="0" containsString="0" containsNumber="1" containsInteger="1" minValue="0" maxValue="40"/>
    </cacheField>
    <cacheField name="Discount" numFmtId="0">
      <sharedItems containsSemiMixedTypes="0" containsString="0" containsNumber="1" containsInteger="1" minValue="0" maxValue="20"/>
    </cacheField>
    <cacheField name="Net_Revenue" numFmtId="0">
      <sharedItems containsSemiMixedTypes="0" containsString="0" containsNumber="1" containsInteger="1" minValue="119" maxValue="3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5-03-26T00:00:00"/>
    <s v="O0001"/>
    <x v="0"/>
    <s v="Scotland"/>
    <s v="Same-Day Delivery"/>
    <s v="Small Truck"/>
    <s v="Diesel"/>
    <n v="142"/>
    <s v="Heavy"/>
    <n v="3.25"/>
    <s v="Delayed"/>
    <s v="D015"/>
  </r>
  <r>
    <d v="2025-03-13T00:00:00"/>
    <s v="O0002"/>
    <x v="1"/>
    <s v="Northern Ireland"/>
    <s v="Parcel Delivery"/>
    <s v="Pickup"/>
    <s v="Petrol"/>
    <n v="48"/>
    <s v="Medium"/>
    <n v="5.69"/>
    <s v="Delayed"/>
    <s v="D014"/>
  </r>
  <r>
    <d v="2025-02-19T00:00:00"/>
    <s v="O0003"/>
    <x v="2"/>
    <s v="Scotland"/>
    <s v="Same-Day Delivery"/>
    <s v="Motorcycle"/>
    <s v="Petrol"/>
    <n v="163"/>
    <s v="Heavy"/>
    <n v="2.09"/>
    <s v="Cancelled"/>
    <s v="D014"/>
  </r>
  <r>
    <d v="2025-03-07T00:00:00"/>
    <s v="O0004"/>
    <x v="0"/>
    <s v="Scotland"/>
    <s v="Parcel Delivery"/>
    <s v="Motorcycle"/>
    <s v="Petrol"/>
    <n v="110"/>
    <s v="Heavy"/>
    <n v="3.21"/>
    <s v="Completed"/>
    <s v="D014"/>
  </r>
  <r>
    <d v="2025-03-05T00:00:00"/>
    <s v="O0005"/>
    <x v="3"/>
    <s v="England"/>
    <s v="Office Shifting"/>
    <s v="Motorcycle"/>
    <s v="Petrol"/>
    <n v="95"/>
    <s v="Heavy"/>
    <n v="6.22"/>
    <s v="Cancelled"/>
    <s v="D002"/>
  </r>
  <r>
    <d v="2025-01-30T00:00:00"/>
    <s v="O0006"/>
    <x v="4"/>
    <s v="England"/>
    <s v="Same-Day Delivery"/>
    <s v="Medium Truck"/>
    <s v="Diesel"/>
    <n v="134"/>
    <s v="Heavy"/>
    <n v="5.84"/>
    <s v="Delayed"/>
    <s v="D005"/>
  </r>
  <r>
    <d v="2025-03-05T00:00:00"/>
    <s v="O0007"/>
    <x v="5"/>
    <s v="Wales"/>
    <s v="Parcel Delivery"/>
    <s v="Medium Truck"/>
    <s v="Diesel"/>
    <n v="38"/>
    <s v="Medium"/>
    <n v="5.03"/>
    <s v="Completed"/>
    <s v="D011"/>
  </r>
  <r>
    <d v="2025-03-20T00:00:00"/>
    <s v="O0008"/>
    <x v="2"/>
    <s v="Scotland"/>
    <s v="House Shifting"/>
    <s v="Motorcycle"/>
    <s v="Petrol"/>
    <n v="6"/>
    <s v="Light"/>
    <n v="5.09"/>
    <s v="Completed"/>
    <s v="D004"/>
  </r>
  <r>
    <d v="2025-03-05T00:00:00"/>
    <s v="O0009"/>
    <x v="6"/>
    <s v="England"/>
    <s v="Fragile Items Delivery"/>
    <s v="Luton Van"/>
    <s v="Diesel"/>
    <n v="71"/>
    <s v="Medium"/>
    <n v="1.41"/>
    <s v="Delayed"/>
    <s v="D004"/>
  </r>
  <r>
    <d v="2025-01-12T00:00:00"/>
    <s v="O0010"/>
    <x v="7"/>
    <s v="England"/>
    <s v="Fragile Items Delivery"/>
    <s v="Luton Van"/>
    <s v="Diesel"/>
    <n v="100"/>
    <s v="Heavy"/>
    <n v="3.63"/>
    <s v="Completed"/>
    <s v="D009"/>
  </r>
  <r>
    <d v="2025-02-19T00:00:00"/>
    <s v="O0011"/>
    <x v="7"/>
    <s v="England"/>
    <s v="Same-Day Delivery"/>
    <s v="Small Truck"/>
    <s v="Diesel"/>
    <n v="163"/>
    <s v="Heavy"/>
    <n v="1.44"/>
    <s v="Cancelled"/>
    <s v="D007"/>
  </r>
  <r>
    <d v="2025-02-23T00:00:00"/>
    <s v="O0012"/>
    <x v="8"/>
    <s v="England"/>
    <s v="House Shifting"/>
    <s v="Small Truck"/>
    <s v="Diesel"/>
    <n v="64"/>
    <s v="Medium"/>
    <n v="2.69"/>
    <s v="Delayed"/>
    <s v="D007"/>
  </r>
  <r>
    <d v="2025-01-29T00:00:00"/>
    <s v="O0013"/>
    <x v="5"/>
    <s v="Wales"/>
    <s v="Fragile Items Delivery"/>
    <s v="Motorcycle"/>
    <s v="Petrol"/>
    <n v="21"/>
    <s v="Light"/>
    <n v="3.54"/>
    <s v="Cancelled"/>
    <s v="D014"/>
  </r>
  <r>
    <d v="2025-02-20T00:00:00"/>
    <s v="O0014"/>
    <x v="3"/>
    <s v="England"/>
    <s v="Parcel Delivery"/>
    <s v="Motorcycle"/>
    <s v="Petrol"/>
    <n v="114"/>
    <s v="Heavy"/>
    <n v="4.55"/>
    <s v="Delayed"/>
    <s v="D008"/>
  </r>
  <r>
    <d v="2025-02-20T00:00:00"/>
    <s v="O0015"/>
    <x v="5"/>
    <s v="Wales"/>
    <s v="Office Shifting"/>
    <s v="Van"/>
    <s v="Diesel"/>
    <n v="179"/>
    <s v="Heavy"/>
    <n v="5.68"/>
    <s v="Cancelled"/>
    <s v="D005"/>
  </r>
  <r>
    <d v="2025-03-05T00:00:00"/>
    <s v="O0016"/>
    <x v="6"/>
    <s v="England"/>
    <s v="Furniture Moving"/>
    <s v="Medium Truck"/>
    <s v="Diesel"/>
    <n v="64"/>
    <s v="Medium"/>
    <n v="4.0199999999999996"/>
    <s v="Completed"/>
    <s v="D006"/>
  </r>
  <r>
    <d v="2025-01-07T00:00:00"/>
    <s v="O0017"/>
    <x v="1"/>
    <s v="Northern Ireland"/>
    <s v="Parcel Delivery"/>
    <s v="Pickup"/>
    <s v="Petrol"/>
    <n v="38"/>
    <s v="Medium"/>
    <n v="2.35"/>
    <s v="Completed"/>
    <s v="D015"/>
  </r>
  <r>
    <d v="2025-02-15T00:00:00"/>
    <s v="O0018"/>
    <x v="3"/>
    <s v="England"/>
    <s v="Furniture Moving"/>
    <s v="Small Truck"/>
    <s v="Diesel"/>
    <n v="145"/>
    <s v="Heavy"/>
    <n v="3.69"/>
    <s v="Completed"/>
    <s v="D007"/>
  </r>
  <r>
    <d v="2025-01-14T00:00:00"/>
    <s v="O0019"/>
    <x v="1"/>
    <s v="Northern Ireland"/>
    <s v="Parcel Delivery"/>
    <s v="Medium Truck"/>
    <s v="Diesel"/>
    <n v="136"/>
    <s v="Heavy"/>
    <n v="5.07"/>
    <s v="Completed"/>
    <s v="D005"/>
  </r>
  <r>
    <d v="2025-03-12T00:00:00"/>
    <s v="O0020"/>
    <x v="4"/>
    <s v="England"/>
    <s v="House Shifting"/>
    <s v="Small Truck"/>
    <s v="Diesel"/>
    <n v="119"/>
    <s v="Heavy"/>
    <n v="3.44"/>
    <s v="Cancelled"/>
    <s v="D004"/>
  </r>
  <r>
    <d v="2025-01-08T00:00:00"/>
    <s v="O0021"/>
    <x v="5"/>
    <s v="Wales"/>
    <s v="House Shifting"/>
    <s v="Van"/>
    <s v="Diesel"/>
    <n v="34"/>
    <s v="Medium"/>
    <n v="6.14"/>
    <s v="Delayed"/>
    <s v="D014"/>
  </r>
  <r>
    <d v="2025-01-09T00:00:00"/>
    <s v="O0022"/>
    <x v="6"/>
    <s v="England"/>
    <s v="Parcel Delivery"/>
    <s v="Pickup"/>
    <s v="Petrol"/>
    <n v="28"/>
    <s v="Light"/>
    <n v="3.17"/>
    <s v="Cancelled"/>
    <s v="D015"/>
  </r>
  <r>
    <d v="2025-03-23T00:00:00"/>
    <s v="O0023"/>
    <x v="7"/>
    <s v="England"/>
    <s v="Fragile Items Delivery"/>
    <s v="Luton Van"/>
    <s v="Diesel"/>
    <n v="31"/>
    <s v="Medium"/>
    <n v="3.32"/>
    <s v="Completed"/>
    <s v="D011"/>
  </r>
  <r>
    <d v="2025-03-31T00:00:00"/>
    <s v="O0024"/>
    <x v="0"/>
    <s v="Scotland"/>
    <s v="Office Shifting"/>
    <s v="Motorcycle"/>
    <s v="Petrol"/>
    <n v="36"/>
    <s v="Medium"/>
    <n v="3.56"/>
    <s v="Delayed"/>
    <s v="D001"/>
  </r>
  <r>
    <d v="2025-01-08T00:00:00"/>
    <s v="O0025"/>
    <x v="6"/>
    <s v="England"/>
    <s v="Same-Day Delivery"/>
    <s v="Pickup"/>
    <s v="Petrol"/>
    <n v="120"/>
    <s v="Heavy"/>
    <n v="2.0699999999999998"/>
    <s v="Delayed"/>
    <s v="D015"/>
  </r>
  <r>
    <d v="2025-02-11T00:00:00"/>
    <s v="O0026"/>
    <x v="6"/>
    <s v="England"/>
    <s v="Fragile Items Delivery"/>
    <s v="Medium Truck"/>
    <s v="Diesel"/>
    <n v="36"/>
    <s v="Medium"/>
    <n v="2.93"/>
    <s v="Delayed"/>
    <s v="D003"/>
  </r>
  <r>
    <d v="2025-02-17T00:00:00"/>
    <s v="O0027"/>
    <x v="6"/>
    <s v="England"/>
    <s v="Fragile Items Delivery"/>
    <s v="Medium Truck"/>
    <s v="Diesel"/>
    <n v="29"/>
    <s v="Light"/>
    <n v="4.41"/>
    <s v="Cancelled"/>
    <s v="D005"/>
  </r>
  <r>
    <d v="2025-01-12T00:00:00"/>
    <s v="O0028"/>
    <x v="6"/>
    <s v="England"/>
    <s v="Parcel Delivery"/>
    <s v="Small Truck"/>
    <s v="Diesel"/>
    <n v="134"/>
    <s v="Heavy"/>
    <n v="1.36"/>
    <s v="Delayed"/>
    <s v="D003"/>
  </r>
  <r>
    <d v="2025-01-12T00:00:00"/>
    <s v="O0029"/>
    <x v="2"/>
    <s v="Scotland"/>
    <s v="House Shifting"/>
    <s v="Motorcycle"/>
    <s v="Petrol"/>
    <n v="60"/>
    <s v="Medium"/>
    <n v="4.9400000000000004"/>
    <s v="Cancelled"/>
    <s v="D002"/>
  </r>
  <r>
    <d v="2025-02-13T00:00:00"/>
    <s v="O0030"/>
    <x v="0"/>
    <s v="Scotland"/>
    <s v="Parcel Delivery"/>
    <s v="Motorcycle"/>
    <s v="Petrol"/>
    <n v="88"/>
    <s v="Heavy"/>
    <n v="5.29"/>
    <s v="Delayed"/>
    <s v="D014"/>
  </r>
  <r>
    <d v="2025-03-25T00:00:00"/>
    <s v="O0031"/>
    <x v="3"/>
    <s v="England"/>
    <s v="Furniture Moving"/>
    <s v="Medium Truck"/>
    <s v="Diesel"/>
    <n v="9"/>
    <s v="Light"/>
    <n v="1.28"/>
    <s v="Cancelled"/>
    <s v="D007"/>
  </r>
  <r>
    <d v="2025-01-03T00:00:00"/>
    <s v="O0032"/>
    <x v="1"/>
    <s v="Northern Ireland"/>
    <s v="Parcel Delivery"/>
    <s v="Motorcycle"/>
    <s v="Petrol"/>
    <n v="148"/>
    <s v="Heavy"/>
    <n v="4.37"/>
    <s v="Cancelled"/>
    <s v="D009"/>
  </r>
  <r>
    <d v="2025-03-04T00:00:00"/>
    <s v="O0033"/>
    <x v="4"/>
    <s v="England"/>
    <s v="Office Shifting"/>
    <s v="Pickup"/>
    <s v="Petrol"/>
    <n v="128"/>
    <s v="Heavy"/>
    <n v="5.17"/>
    <s v="Cancelled"/>
    <s v="D007"/>
  </r>
  <r>
    <d v="2025-03-10T00:00:00"/>
    <s v="O0034"/>
    <x v="2"/>
    <s v="Scotland"/>
    <s v="Office Shifting"/>
    <s v="Van"/>
    <s v="Diesel"/>
    <n v="98"/>
    <s v="Heavy"/>
    <n v="4.3600000000000003"/>
    <s v="Completed"/>
    <s v="D003"/>
  </r>
  <r>
    <d v="2025-03-26T00:00:00"/>
    <s v="O0035"/>
    <x v="5"/>
    <s v="Wales"/>
    <s v="Parcel Delivery"/>
    <s v="Luton Van"/>
    <s v="Diesel"/>
    <n v="51"/>
    <s v="Medium"/>
    <n v="4.3899999999999997"/>
    <s v="Completed"/>
    <s v="D005"/>
  </r>
  <r>
    <d v="2025-01-15T00:00:00"/>
    <s v="O0036"/>
    <x v="8"/>
    <s v="England"/>
    <s v="Parcel Delivery"/>
    <s v="Small Truck"/>
    <s v="Diesel"/>
    <n v="70"/>
    <s v="Medium"/>
    <n v="1.07"/>
    <s v="Delayed"/>
    <s v="D015"/>
  </r>
  <r>
    <d v="2025-01-08T00:00:00"/>
    <s v="O0037"/>
    <x v="0"/>
    <s v="Scotland"/>
    <s v="House Shifting"/>
    <s v="Luton Van"/>
    <s v="Diesel"/>
    <n v="65"/>
    <s v="Medium"/>
    <n v="5.28"/>
    <s v="Delayed"/>
    <s v="D001"/>
  </r>
  <r>
    <d v="2025-03-10T00:00:00"/>
    <s v="O0038"/>
    <x v="1"/>
    <s v="Northern Ireland"/>
    <s v="Parcel Delivery"/>
    <s v="Van"/>
    <s v="Diesel"/>
    <n v="11"/>
    <s v="Light"/>
    <n v="2.48"/>
    <s v="Completed"/>
    <s v="D013"/>
  </r>
  <r>
    <d v="2025-03-04T00:00:00"/>
    <s v="O0039"/>
    <x v="8"/>
    <s v="England"/>
    <s v="Fragile Items Delivery"/>
    <s v="Medium Truck"/>
    <s v="Diesel"/>
    <n v="11"/>
    <s v="Light"/>
    <n v="5.07"/>
    <s v="Cancelled"/>
    <s v="D001"/>
  </r>
  <r>
    <d v="2025-03-27T00:00:00"/>
    <s v="O0040"/>
    <x v="9"/>
    <s v="England"/>
    <s v="Same-Day Delivery"/>
    <s v="Motorcycle"/>
    <s v="Petrol"/>
    <n v="99"/>
    <s v="Heavy"/>
    <n v="2.58"/>
    <s v="Cancelled"/>
    <s v="D008"/>
  </r>
  <r>
    <d v="2025-02-10T00:00:00"/>
    <s v="O0041"/>
    <x v="9"/>
    <s v="England"/>
    <s v="Furniture Moving"/>
    <s v="Motorcycle"/>
    <s v="Petrol"/>
    <n v="135"/>
    <s v="Heavy"/>
    <n v="6.15"/>
    <s v="Cancelled"/>
    <s v="D003"/>
  </r>
  <r>
    <d v="2025-03-19T00:00:00"/>
    <s v="O0042"/>
    <x v="0"/>
    <s v="Scotland"/>
    <s v="Fragile Items Delivery"/>
    <s v="Luton Van"/>
    <s v="Diesel"/>
    <n v="112"/>
    <s v="Heavy"/>
    <n v="5.88"/>
    <s v="Cancelled"/>
    <s v="D002"/>
  </r>
  <r>
    <d v="2025-01-07T00:00:00"/>
    <s v="O0043"/>
    <x v="5"/>
    <s v="Wales"/>
    <s v="Office Shifting"/>
    <s v="Luton Van"/>
    <s v="Diesel"/>
    <n v="148"/>
    <s v="Heavy"/>
    <n v="2.68"/>
    <s v="Completed"/>
    <s v="D004"/>
  </r>
  <r>
    <d v="2025-03-28T00:00:00"/>
    <s v="O0044"/>
    <x v="4"/>
    <s v="England"/>
    <s v="Office Shifting"/>
    <s v="Medium Truck"/>
    <s v="Diesel"/>
    <n v="133"/>
    <s v="Heavy"/>
    <n v="1.29"/>
    <s v="Completed"/>
    <s v="D005"/>
  </r>
  <r>
    <d v="2025-03-14T00:00:00"/>
    <s v="O0045"/>
    <x v="5"/>
    <s v="Wales"/>
    <s v="Parcel Delivery"/>
    <s v="Medium Truck"/>
    <s v="Diesel"/>
    <n v="97"/>
    <s v="Heavy"/>
    <n v="4.34"/>
    <s v="Delayed"/>
    <s v="D006"/>
  </r>
  <r>
    <d v="2025-02-13T00:00:00"/>
    <s v="O0046"/>
    <x v="8"/>
    <s v="England"/>
    <s v="House Shifting"/>
    <s v="Motorcycle"/>
    <s v="Petrol"/>
    <n v="7"/>
    <s v="Light"/>
    <n v="1.38"/>
    <s v="Delayed"/>
    <s v="D011"/>
  </r>
  <r>
    <d v="2025-03-27T00:00:00"/>
    <s v="O0047"/>
    <x v="1"/>
    <s v="Northern Ireland"/>
    <s v="Parcel Delivery"/>
    <s v="Small Truck"/>
    <s v="Diesel"/>
    <n v="101"/>
    <s v="Heavy"/>
    <n v="1.49"/>
    <s v="Cancelled"/>
    <s v="D003"/>
  </r>
  <r>
    <d v="2025-01-19T00:00:00"/>
    <s v="O0048"/>
    <x v="5"/>
    <s v="Wales"/>
    <s v="Office Shifting"/>
    <s v="Small Truck"/>
    <s v="Diesel"/>
    <n v="168"/>
    <s v="Heavy"/>
    <n v="3.26"/>
    <s v="Completed"/>
    <s v="D007"/>
  </r>
  <r>
    <d v="2025-03-22T00:00:00"/>
    <s v="O0049"/>
    <x v="3"/>
    <s v="England"/>
    <s v="Parcel Delivery"/>
    <s v="Small Truck"/>
    <s v="Diesel"/>
    <n v="43"/>
    <s v="Medium"/>
    <n v="6.02"/>
    <s v="Delayed"/>
    <s v="D007"/>
  </r>
  <r>
    <d v="2025-03-10T00:00:00"/>
    <s v="O0050"/>
    <x v="3"/>
    <s v="England"/>
    <s v="House Shifting"/>
    <s v="Van"/>
    <s v="Diesel"/>
    <n v="154"/>
    <s v="Heavy"/>
    <n v="1.04"/>
    <s v="Delayed"/>
    <s v="D007"/>
  </r>
  <r>
    <d v="2025-03-23T00:00:00"/>
    <s v="O0051"/>
    <x v="0"/>
    <s v="Scotland"/>
    <s v="House Shifting"/>
    <s v="Pickup"/>
    <s v="Petrol"/>
    <n v="154"/>
    <s v="Heavy"/>
    <n v="1.01"/>
    <s v="Cancelled"/>
    <s v="D001"/>
  </r>
  <r>
    <d v="2025-02-11T00:00:00"/>
    <s v="O0052"/>
    <x v="6"/>
    <s v="England"/>
    <s v="Office Shifting"/>
    <s v="Motorcycle"/>
    <s v="Petrol"/>
    <n v="56"/>
    <s v="Medium"/>
    <n v="3.51"/>
    <s v="Completed"/>
    <s v="D002"/>
  </r>
  <r>
    <d v="2025-03-05T00:00:00"/>
    <s v="O0053"/>
    <x v="3"/>
    <s v="England"/>
    <s v="Furniture Moving"/>
    <s v="Luton Van"/>
    <s v="Diesel"/>
    <n v="137"/>
    <s v="Heavy"/>
    <n v="3.87"/>
    <s v="Delayed"/>
    <s v="D001"/>
  </r>
  <r>
    <d v="2025-01-01T00:00:00"/>
    <s v="O0054"/>
    <x v="1"/>
    <s v="Northern Ireland"/>
    <s v="House Shifting"/>
    <s v="Van"/>
    <s v="Diesel"/>
    <n v="45"/>
    <s v="Medium"/>
    <n v="3.9"/>
    <s v="Delayed"/>
    <s v="D015"/>
  </r>
  <r>
    <d v="2025-03-05T00:00:00"/>
    <s v="O0055"/>
    <x v="5"/>
    <s v="Wales"/>
    <s v="Furniture Moving"/>
    <s v="Medium Truck"/>
    <s v="Diesel"/>
    <n v="102"/>
    <s v="Heavy"/>
    <n v="5.98"/>
    <s v="Delayed"/>
    <s v="D015"/>
  </r>
  <r>
    <d v="2025-01-22T00:00:00"/>
    <s v="O0056"/>
    <x v="3"/>
    <s v="England"/>
    <s v="Fragile Items Delivery"/>
    <s v="Luton Van"/>
    <s v="Diesel"/>
    <n v="111"/>
    <s v="Heavy"/>
    <n v="5.69"/>
    <s v="Completed"/>
    <s v="D003"/>
  </r>
  <r>
    <d v="2025-01-03T00:00:00"/>
    <s v="O0057"/>
    <x v="3"/>
    <s v="England"/>
    <s v="Same-Day Delivery"/>
    <s v="Luton Van"/>
    <s v="Diesel"/>
    <n v="17"/>
    <s v="Light"/>
    <n v="1.46"/>
    <s v="Cancelled"/>
    <s v="D007"/>
  </r>
  <r>
    <d v="2025-03-12T00:00:00"/>
    <s v="O0058"/>
    <x v="8"/>
    <s v="England"/>
    <s v="House Shifting"/>
    <s v="Motorcycle"/>
    <s v="Petrol"/>
    <n v="136"/>
    <s v="Heavy"/>
    <n v="2.39"/>
    <s v="Completed"/>
    <s v="D008"/>
  </r>
  <r>
    <d v="2025-01-09T00:00:00"/>
    <s v="O0059"/>
    <x v="9"/>
    <s v="England"/>
    <s v="House Shifting"/>
    <s v="Medium Truck"/>
    <s v="Diesel"/>
    <n v="104"/>
    <s v="Heavy"/>
    <n v="1.95"/>
    <s v="Delayed"/>
    <s v="D008"/>
  </r>
  <r>
    <d v="2025-02-20T00:00:00"/>
    <s v="O0060"/>
    <x v="8"/>
    <s v="England"/>
    <s v="Same-Day Delivery"/>
    <s v="Small Truck"/>
    <s v="Diesel"/>
    <n v="57"/>
    <s v="Medium"/>
    <n v="4.0599999999999996"/>
    <s v="Cancelled"/>
    <s v="D008"/>
  </r>
  <r>
    <d v="2025-03-30T00:00:00"/>
    <s v="O0061"/>
    <x v="4"/>
    <s v="England"/>
    <s v="Fragile Items Delivery"/>
    <s v="Motorcycle"/>
    <s v="Petrol"/>
    <n v="91"/>
    <s v="Heavy"/>
    <n v="1.67"/>
    <s v="Completed"/>
    <s v="D001"/>
  </r>
  <r>
    <d v="2025-03-13T00:00:00"/>
    <s v="O0062"/>
    <x v="1"/>
    <s v="Northern Ireland"/>
    <s v="House Shifting"/>
    <s v="Small Truck"/>
    <s v="Diesel"/>
    <n v="102"/>
    <s v="Heavy"/>
    <n v="3.58"/>
    <s v="Delayed"/>
    <s v="D013"/>
  </r>
  <r>
    <d v="2025-03-13T00:00:00"/>
    <s v="O0063"/>
    <x v="0"/>
    <s v="Scotland"/>
    <s v="House Shifting"/>
    <s v="Van"/>
    <s v="Diesel"/>
    <n v="95"/>
    <s v="Heavy"/>
    <n v="5.98"/>
    <s v="Delayed"/>
    <s v="D005"/>
  </r>
  <r>
    <d v="2025-02-26T00:00:00"/>
    <s v="O0064"/>
    <x v="4"/>
    <s v="England"/>
    <s v="Furniture Moving"/>
    <s v="Luton Van"/>
    <s v="Diesel"/>
    <n v="139"/>
    <s v="Heavy"/>
    <n v="3.09"/>
    <s v="Completed"/>
    <s v="D002"/>
  </r>
  <r>
    <d v="2025-02-10T00:00:00"/>
    <s v="O0065"/>
    <x v="8"/>
    <s v="England"/>
    <s v="House Shifting"/>
    <s v="Medium Truck"/>
    <s v="Diesel"/>
    <n v="161"/>
    <s v="Heavy"/>
    <n v="3.33"/>
    <s v="Completed"/>
    <s v="D010"/>
  </r>
  <r>
    <d v="2025-03-19T00:00:00"/>
    <s v="O0066"/>
    <x v="1"/>
    <s v="Northern Ireland"/>
    <s v="Furniture Moving"/>
    <s v="Luton Van"/>
    <s v="Diesel"/>
    <n v="105"/>
    <s v="Heavy"/>
    <n v="1.6"/>
    <s v="Completed"/>
    <s v="D002"/>
  </r>
  <r>
    <d v="2025-03-15T00:00:00"/>
    <s v="O0067"/>
    <x v="0"/>
    <s v="Scotland"/>
    <s v="House Shifting"/>
    <s v="Motorcycle"/>
    <s v="Petrol"/>
    <n v="63"/>
    <s v="Medium"/>
    <n v="2.76"/>
    <s v="Completed"/>
    <s v="D003"/>
  </r>
  <r>
    <d v="2025-03-19T00:00:00"/>
    <s v="O0068"/>
    <x v="7"/>
    <s v="England"/>
    <s v="Office Shifting"/>
    <s v="Medium Truck"/>
    <s v="Diesel"/>
    <n v="5"/>
    <s v="Light"/>
    <n v="5.08"/>
    <s v="Completed"/>
    <s v="D012"/>
  </r>
  <r>
    <d v="2025-03-16T00:00:00"/>
    <s v="O0069"/>
    <x v="4"/>
    <s v="England"/>
    <s v="Fragile Items Delivery"/>
    <s v="Van"/>
    <s v="Diesel"/>
    <n v="160"/>
    <s v="Heavy"/>
    <n v="4.66"/>
    <s v="Cancelled"/>
    <s v="D003"/>
  </r>
  <r>
    <d v="2025-01-05T00:00:00"/>
    <s v="O0070"/>
    <x v="0"/>
    <s v="Scotland"/>
    <s v="Furniture Moving"/>
    <s v="Van"/>
    <s v="Diesel"/>
    <n v="108"/>
    <s v="Heavy"/>
    <n v="5.18"/>
    <s v="Completed"/>
    <s v="D009"/>
  </r>
  <r>
    <d v="2025-01-03T00:00:00"/>
    <s v="O0071"/>
    <x v="3"/>
    <s v="England"/>
    <s v="House Shifting"/>
    <s v="Van"/>
    <s v="Diesel"/>
    <n v="25"/>
    <s v="Light"/>
    <n v="6.27"/>
    <s v="Delayed"/>
    <s v="D009"/>
  </r>
  <r>
    <d v="2025-03-22T00:00:00"/>
    <s v="O0072"/>
    <x v="1"/>
    <s v="Northern Ireland"/>
    <s v="Office Shifting"/>
    <s v="Luton Van"/>
    <s v="Diesel"/>
    <n v="63"/>
    <s v="Medium"/>
    <n v="2.4700000000000002"/>
    <s v="Delayed"/>
    <s v="D015"/>
  </r>
  <r>
    <d v="2025-02-12T00:00:00"/>
    <s v="O0073"/>
    <x v="3"/>
    <s v="England"/>
    <s v="Fragile Items Delivery"/>
    <s v="Van"/>
    <s v="Diesel"/>
    <n v="106"/>
    <s v="Heavy"/>
    <n v="6.12"/>
    <s v="Completed"/>
    <s v="D002"/>
  </r>
  <r>
    <d v="2025-01-16T00:00:00"/>
    <s v="O0074"/>
    <x v="7"/>
    <s v="England"/>
    <s v="Parcel Delivery"/>
    <s v="Luton Van"/>
    <s v="Diesel"/>
    <n v="93"/>
    <s v="Heavy"/>
    <n v="4.82"/>
    <s v="Completed"/>
    <s v="D003"/>
  </r>
  <r>
    <d v="2025-01-12T00:00:00"/>
    <s v="O0075"/>
    <x v="0"/>
    <s v="Scotland"/>
    <s v="Office Shifting"/>
    <s v="Motorcycle"/>
    <s v="Petrol"/>
    <n v="37"/>
    <s v="Medium"/>
    <n v="4.0999999999999996"/>
    <s v="Delayed"/>
    <s v="D010"/>
  </r>
  <r>
    <d v="2025-01-14T00:00:00"/>
    <s v="O0076"/>
    <x v="1"/>
    <s v="Northern Ireland"/>
    <s v="Office Shifting"/>
    <s v="Van"/>
    <s v="Diesel"/>
    <n v="120"/>
    <s v="Heavy"/>
    <n v="2.2000000000000002"/>
    <s v="Cancelled"/>
    <s v="D010"/>
  </r>
  <r>
    <d v="2025-02-27T00:00:00"/>
    <s v="O0077"/>
    <x v="3"/>
    <s v="England"/>
    <s v="Office Shifting"/>
    <s v="Medium Truck"/>
    <s v="Diesel"/>
    <n v="112"/>
    <s v="Heavy"/>
    <n v="2.44"/>
    <s v="Delayed"/>
    <s v="D003"/>
  </r>
  <r>
    <d v="2025-03-22T00:00:00"/>
    <s v="O0078"/>
    <x v="1"/>
    <s v="Northern Ireland"/>
    <s v="Parcel Delivery"/>
    <s v="Pickup"/>
    <s v="Petrol"/>
    <n v="119"/>
    <s v="Heavy"/>
    <n v="1.21"/>
    <s v="Delayed"/>
    <s v="D004"/>
  </r>
  <r>
    <d v="2025-01-21T00:00:00"/>
    <s v="O0079"/>
    <x v="9"/>
    <s v="England"/>
    <s v="Office Shifting"/>
    <s v="Medium Truck"/>
    <s v="Diesel"/>
    <n v="52"/>
    <s v="Medium"/>
    <n v="1.1299999999999999"/>
    <s v="Cancelled"/>
    <s v="D009"/>
  </r>
  <r>
    <d v="2025-01-29T00:00:00"/>
    <s v="O0080"/>
    <x v="0"/>
    <s v="Scotland"/>
    <s v="Same-Day Delivery"/>
    <s v="Pickup"/>
    <s v="Petrol"/>
    <n v="156"/>
    <s v="Heavy"/>
    <n v="3.28"/>
    <s v="Completed"/>
    <s v="D012"/>
  </r>
  <r>
    <d v="2025-02-02T00:00:00"/>
    <s v="O0081"/>
    <x v="6"/>
    <s v="England"/>
    <s v="Fragile Items Delivery"/>
    <s v="Small Truck"/>
    <s v="Diesel"/>
    <n v="44"/>
    <s v="Medium"/>
    <n v="2.88"/>
    <s v="Cancelled"/>
    <s v="D008"/>
  </r>
  <r>
    <d v="2025-01-30T00:00:00"/>
    <s v="O0082"/>
    <x v="0"/>
    <s v="Scotland"/>
    <s v="Furniture Moving"/>
    <s v="Luton Van"/>
    <s v="Diesel"/>
    <n v="107"/>
    <s v="Heavy"/>
    <n v="5.44"/>
    <s v="Cancelled"/>
    <s v="D011"/>
  </r>
  <r>
    <d v="2025-02-14T00:00:00"/>
    <s v="O0083"/>
    <x v="5"/>
    <s v="Wales"/>
    <s v="Fragile Items Delivery"/>
    <s v="Small Truck"/>
    <s v="Diesel"/>
    <n v="100"/>
    <s v="Heavy"/>
    <n v="6.17"/>
    <s v="Cancelled"/>
    <s v="D015"/>
  </r>
  <r>
    <d v="2025-03-24T00:00:00"/>
    <s v="O0084"/>
    <x v="9"/>
    <s v="England"/>
    <s v="Parcel Delivery"/>
    <s v="Motorcycle"/>
    <s v="Petrol"/>
    <n v="104"/>
    <s v="Heavy"/>
    <n v="4.2"/>
    <s v="Completed"/>
    <s v="D005"/>
  </r>
  <r>
    <d v="2025-01-19T00:00:00"/>
    <s v="O0085"/>
    <x v="2"/>
    <s v="Scotland"/>
    <s v="Fragile Items Delivery"/>
    <s v="Pickup"/>
    <s v="Petrol"/>
    <n v="106"/>
    <s v="Heavy"/>
    <n v="2.88"/>
    <s v="Delayed"/>
    <s v="D001"/>
  </r>
  <r>
    <d v="2025-02-09T00:00:00"/>
    <s v="O0086"/>
    <x v="5"/>
    <s v="Wales"/>
    <s v="Office Shifting"/>
    <s v="Medium Truck"/>
    <s v="Diesel"/>
    <n v="62"/>
    <s v="Medium"/>
    <n v="3.77"/>
    <s v="Completed"/>
    <s v="D007"/>
  </r>
  <r>
    <d v="2025-03-11T00:00:00"/>
    <s v="O0087"/>
    <x v="3"/>
    <s v="England"/>
    <s v="Office Shifting"/>
    <s v="Small Truck"/>
    <s v="Diesel"/>
    <n v="24"/>
    <s v="Light"/>
    <n v="6.06"/>
    <s v="Delayed"/>
    <s v="D015"/>
  </r>
  <r>
    <d v="2025-01-23T00:00:00"/>
    <s v="O0088"/>
    <x v="0"/>
    <s v="Scotland"/>
    <s v="House Shifting"/>
    <s v="Van"/>
    <s v="Diesel"/>
    <n v="158"/>
    <s v="Heavy"/>
    <n v="3.47"/>
    <s v="Delayed"/>
    <s v="D011"/>
  </r>
  <r>
    <d v="2025-01-25T00:00:00"/>
    <s v="O0089"/>
    <x v="2"/>
    <s v="Scotland"/>
    <s v="Office Shifting"/>
    <s v="Van"/>
    <s v="Diesel"/>
    <n v="147"/>
    <s v="Heavy"/>
    <n v="6.32"/>
    <s v="Completed"/>
    <s v="D004"/>
  </r>
  <r>
    <d v="2025-03-31T00:00:00"/>
    <s v="O0090"/>
    <x v="8"/>
    <s v="England"/>
    <s v="Furniture Moving"/>
    <s v="Van"/>
    <s v="Diesel"/>
    <n v="63"/>
    <s v="Medium"/>
    <n v="1.41"/>
    <s v="Delayed"/>
    <s v="D003"/>
  </r>
  <r>
    <d v="2025-03-28T00:00:00"/>
    <s v="O0091"/>
    <x v="7"/>
    <s v="England"/>
    <s v="Parcel Delivery"/>
    <s v="Medium Truck"/>
    <s v="Diesel"/>
    <n v="84"/>
    <s v="Heavy"/>
    <n v="4.3899999999999997"/>
    <s v="Cancelled"/>
    <s v="D008"/>
  </r>
  <r>
    <d v="2025-02-25T00:00:00"/>
    <s v="O0092"/>
    <x v="0"/>
    <s v="Scotland"/>
    <s v="Fragile Items Delivery"/>
    <s v="Motorcycle"/>
    <s v="Petrol"/>
    <n v="41"/>
    <s v="Medium"/>
    <n v="1.97"/>
    <s v="Completed"/>
    <s v="D008"/>
  </r>
  <r>
    <d v="2025-02-21T00:00:00"/>
    <s v="O0093"/>
    <x v="9"/>
    <s v="England"/>
    <s v="Fragile Items Delivery"/>
    <s v="Motorcycle"/>
    <s v="Petrol"/>
    <n v="95"/>
    <s v="Heavy"/>
    <n v="3.84"/>
    <s v="Cancelled"/>
    <s v="D008"/>
  </r>
  <r>
    <d v="2025-03-27T00:00:00"/>
    <s v="O0094"/>
    <x v="1"/>
    <s v="Northern Ireland"/>
    <s v="Same-Day Delivery"/>
    <s v="Pickup"/>
    <s v="Petrol"/>
    <n v="10"/>
    <s v="Light"/>
    <n v="6.47"/>
    <s v="Cancelled"/>
    <s v="D007"/>
  </r>
  <r>
    <d v="2025-03-24T00:00:00"/>
    <s v="O0095"/>
    <x v="4"/>
    <s v="England"/>
    <s v="House Shifting"/>
    <s v="Van"/>
    <s v="Diesel"/>
    <n v="26"/>
    <s v="Light"/>
    <n v="2.48"/>
    <s v="Delayed"/>
    <s v="D010"/>
  </r>
  <r>
    <d v="2025-02-23T00:00:00"/>
    <s v="O0096"/>
    <x v="5"/>
    <s v="Wales"/>
    <s v="Furniture Moving"/>
    <s v="Luton Van"/>
    <s v="Diesel"/>
    <n v="12"/>
    <s v="Light"/>
    <n v="3.52"/>
    <s v="Cancelled"/>
    <s v="D002"/>
  </r>
  <r>
    <d v="2025-03-15T00:00:00"/>
    <s v="O0097"/>
    <x v="8"/>
    <s v="England"/>
    <s v="Furniture Moving"/>
    <s v="Pickup"/>
    <s v="Petrol"/>
    <n v="25"/>
    <s v="Light"/>
    <n v="3.54"/>
    <s v="Completed"/>
    <s v="D001"/>
  </r>
  <r>
    <d v="2025-01-30T00:00:00"/>
    <s v="O0098"/>
    <x v="9"/>
    <s v="England"/>
    <s v="Same-Day Delivery"/>
    <s v="Pickup"/>
    <s v="Petrol"/>
    <n v="32"/>
    <s v="Medium"/>
    <n v="2.97"/>
    <s v="Cancelled"/>
    <s v="D007"/>
  </r>
  <r>
    <d v="2025-02-27T00:00:00"/>
    <s v="O0099"/>
    <x v="4"/>
    <s v="England"/>
    <s v="Furniture Moving"/>
    <s v="Medium Truck"/>
    <s v="Diesel"/>
    <n v="13"/>
    <s v="Light"/>
    <n v="3.81"/>
    <s v="Delayed"/>
    <s v="D005"/>
  </r>
  <r>
    <d v="2025-01-26T00:00:00"/>
    <s v="O0100"/>
    <x v="6"/>
    <s v="England"/>
    <s v="Office Shifting"/>
    <s v="Luton Van"/>
    <s v="Diesel"/>
    <n v="135"/>
    <s v="Heavy"/>
    <n v="5.0199999999999996"/>
    <s v="Completed"/>
    <s v="D013"/>
  </r>
  <r>
    <d v="2025-02-02T00:00:00"/>
    <s v="O0101"/>
    <x v="5"/>
    <s v="Wales"/>
    <s v="Parcel Delivery"/>
    <s v="Pickup"/>
    <s v="Petrol"/>
    <n v="147"/>
    <s v="Heavy"/>
    <n v="2.25"/>
    <s v="Completed"/>
    <s v="D010"/>
  </r>
  <r>
    <d v="2025-01-16T00:00:00"/>
    <s v="O0102"/>
    <x v="1"/>
    <s v="Northern Ireland"/>
    <s v="Parcel Delivery"/>
    <s v="Small Truck"/>
    <s v="Diesel"/>
    <n v="122"/>
    <s v="Heavy"/>
    <n v="1.71"/>
    <s v="Cancelled"/>
    <s v="D011"/>
  </r>
  <r>
    <d v="2025-01-21T00:00:00"/>
    <s v="O0103"/>
    <x v="2"/>
    <s v="Scotland"/>
    <s v="Same-Day Delivery"/>
    <s v="Medium Truck"/>
    <s v="Diesel"/>
    <n v="180"/>
    <s v="Heavy"/>
    <n v="3.43"/>
    <s v="Completed"/>
    <s v="D013"/>
  </r>
  <r>
    <d v="2025-02-10T00:00:00"/>
    <s v="O0104"/>
    <x v="8"/>
    <s v="England"/>
    <s v="Same-Day Delivery"/>
    <s v="Pickup"/>
    <s v="Petrol"/>
    <n v="27"/>
    <s v="Light"/>
    <n v="2.04"/>
    <s v="Delayed"/>
    <s v="D011"/>
  </r>
  <r>
    <d v="2025-01-24T00:00:00"/>
    <s v="O0105"/>
    <x v="0"/>
    <s v="Scotland"/>
    <s v="Fragile Items Delivery"/>
    <s v="Motorcycle"/>
    <s v="Petrol"/>
    <n v="29"/>
    <s v="Light"/>
    <n v="2.93"/>
    <s v="Cancelled"/>
    <s v="D015"/>
  </r>
  <r>
    <d v="2025-01-17T00:00:00"/>
    <s v="O0106"/>
    <x v="8"/>
    <s v="England"/>
    <s v="Furniture Moving"/>
    <s v="Luton Van"/>
    <s v="Diesel"/>
    <n v="26"/>
    <s v="Light"/>
    <n v="5.89"/>
    <s v="Completed"/>
    <s v="D008"/>
  </r>
  <r>
    <d v="2025-03-10T00:00:00"/>
    <s v="O0107"/>
    <x v="3"/>
    <s v="England"/>
    <s v="House Shifting"/>
    <s v="Pickup"/>
    <s v="Petrol"/>
    <n v="180"/>
    <s v="Heavy"/>
    <n v="5.29"/>
    <s v="Delayed"/>
    <s v="D006"/>
  </r>
  <r>
    <d v="2025-01-24T00:00:00"/>
    <s v="O0108"/>
    <x v="8"/>
    <s v="England"/>
    <s v="Fragile Items Delivery"/>
    <s v="Pickup"/>
    <s v="Petrol"/>
    <n v="156"/>
    <s v="Heavy"/>
    <n v="5.62"/>
    <s v="Completed"/>
    <s v="D005"/>
  </r>
  <r>
    <d v="2025-02-02T00:00:00"/>
    <s v="O0109"/>
    <x v="8"/>
    <s v="England"/>
    <s v="Parcel Delivery"/>
    <s v="Motorcycle"/>
    <s v="Petrol"/>
    <n v="34"/>
    <s v="Medium"/>
    <n v="1.06"/>
    <s v="Delayed"/>
    <s v="D007"/>
  </r>
  <r>
    <d v="2025-01-04T00:00:00"/>
    <s v="O0110"/>
    <x v="3"/>
    <s v="England"/>
    <s v="House Shifting"/>
    <s v="Van"/>
    <s v="Diesel"/>
    <n v="175"/>
    <s v="Heavy"/>
    <n v="6.41"/>
    <s v="Completed"/>
    <s v="D010"/>
  </r>
  <r>
    <d v="2025-01-17T00:00:00"/>
    <s v="O0111"/>
    <x v="2"/>
    <s v="Scotland"/>
    <s v="Parcel Delivery"/>
    <s v="Small Truck"/>
    <s v="Diesel"/>
    <n v="21"/>
    <s v="Light"/>
    <n v="1.17"/>
    <s v="Completed"/>
    <s v="D014"/>
  </r>
  <r>
    <d v="2025-02-10T00:00:00"/>
    <s v="O0112"/>
    <x v="9"/>
    <s v="England"/>
    <s v="Same-Day Delivery"/>
    <s v="Small Truck"/>
    <s v="Diesel"/>
    <n v="142"/>
    <s v="Heavy"/>
    <n v="2.52"/>
    <s v="Completed"/>
    <s v="D006"/>
  </r>
  <r>
    <d v="2025-02-03T00:00:00"/>
    <s v="O0113"/>
    <x v="4"/>
    <s v="England"/>
    <s v="Office Shifting"/>
    <s v="Medium Truck"/>
    <s v="Diesel"/>
    <n v="126"/>
    <s v="Heavy"/>
    <n v="1.9"/>
    <s v="Cancelled"/>
    <s v="D011"/>
  </r>
  <r>
    <d v="2025-02-18T00:00:00"/>
    <s v="O0114"/>
    <x v="7"/>
    <s v="England"/>
    <s v="Fragile Items Delivery"/>
    <s v="Motorcycle"/>
    <s v="Petrol"/>
    <n v="179"/>
    <s v="Heavy"/>
    <n v="3.24"/>
    <s v="Completed"/>
    <s v="D004"/>
  </r>
  <r>
    <d v="2025-02-10T00:00:00"/>
    <s v="O0115"/>
    <x v="3"/>
    <s v="England"/>
    <s v="Parcel Delivery"/>
    <s v="Medium Truck"/>
    <s v="Diesel"/>
    <n v="110"/>
    <s v="Heavy"/>
    <n v="1.1499999999999999"/>
    <s v="Cancelled"/>
    <s v="D001"/>
  </r>
  <r>
    <d v="2025-03-04T00:00:00"/>
    <s v="O0116"/>
    <x v="0"/>
    <s v="Scotland"/>
    <s v="Fragile Items Delivery"/>
    <s v="Small Truck"/>
    <s v="Diesel"/>
    <n v="37"/>
    <s v="Medium"/>
    <n v="3.58"/>
    <s v="Delayed"/>
    <s v="D001"/>
  </r>
  <r>
    <d v="2025-03-01T00:00:00"/>
    <s v="O0117"/>
    <x v="6"/>
    <s v="England"/>
    <s v="Fragile Items Delivery"/>
    <s v="Motorcycle"/>
    <s v="Petrol"/>
    <n v="163"/>
    <s v="Heavy"/>
    <n v="1.9"/>
    <s v="Delayed"/>
    <s v="D002"/>
  </r>
  <r>
    <d v="2025-02-07T00:00:00"/>
    <s v="O0118"/>
    <x v="5"/>
    <s v="Wales"/>
    <s v="Office Shifting"/>
    <s v="Small Truck"/>
    <s v="Diesel"/>
    <n v="148"/>
    <s v="Heavy"/>
    <n v="3.49"/>
    <s v="Delayed"/>
    <s v="D002"/>
  </r>
  <r>
    <d v="2025-02-15T00:00:00"/>
    <s v="O0119"/>
    <x v="3"/>
    <s v="England"/>
    <s v="Furniture Moving"/>
    <s v="Medium Truck"/>
    <s v="Diesel"/>
    <n v="140"/>
    <s v="Heavy"/>
    <n v="5.94"/>
    <s v="Delayed"/>
    <s v="D004"/>
  </r>
  <r>
    <d v="2025-03-13T00:00:00"/>
    <s v="O0120"/>
    <x v="4"/>
    <s v="England"/>
    <s v="House Shifting"/>
    <s v="Motorcycle"/>
    <s v="Petrol"/>
    <n v="109"/>
    <s v="Heavy"/>
    <n v="6.47"/>
    <s v="Completed"/>
    <s v="D001"/>
  </r>
  <r>
    <d v="2025-03-08T00:00:00"/>
    <s v="O0121"/>
    <x v="3"/>
    <s v="England"/>
    <s v="Parcel Delivery"/>
    <s v="Luton Van"/>
    <s v="Diesel"/>
    <n v="77"/>
    <s v="Medium"/>
    <n v="2.79"/>
    <s v="Completed"/>
    <s v="D007"/>
  </r>
  <r>
    <d v="2025-02-26T00:00:00"/>
    <s v="O0122"/>
    <x v="0"/>
    <s v="Scotland"/>
    <s v="Parcel Delivery"/>
    <s v="Motorcycle"/>
    <s v="Petrol"/>
    <n v="99"/>
    <s v="Heavy"/>
    <n v="1.17"/>
    <s v="Cancelled"/>
    <s v="D002"/>
  </r>
  <r>
    <d v="2025-01-18T00:00:00"/>
    <s v="O0123"/>
    <x v="8"/>
    <s v="England"/>
    <s v="House Shifting"/>
    <s v="Motorcycle"/>
    <s v="Petrol"/>
    <n v="110"/>
    <s v="Heavy"/>
    <n v="2.0099999999999998"/>
    <s v="Completed"/>
    <s v="D010"/>
  </r>
  <r>
    <d v="2025-03-03T00:00:00"/>
    <s v="O0124"/>
    <x v="7"/>
    <s v="England"/>
    <s v="Furniture Moving"/>
    <s v="Medium Truck"/>
    <s v="Diesel"/>
    <n v="138"/>
    <s v="Heavy"/>
    <n v="4.97"/>
    <s v="Cancelled"/>
    <s v="D002"/>
  </r>
  <r>
    <d v="2025-01-12T00:00:00"/>
    <s v="O0125"/>
    <x v="3"/>
    <s v="England"/>
    <s v="Fragile Items Delivery"/>
    <s v="Motorcycle"/>
    <s v="Petrol"/>
    <n v="95"/>
    <s v="Heavy"/>
    <n v="1.86"/>
    <s v="Delayed"/>
    <s v="D014"/>
  </r>
  <r>
    <d v="2025-02-20T00:00:00"/>
    <s v="O0126"/>
    <x v="0"/>
    <s v="Scotland"/>
    <s v="Same-Day Delivery"/>
    <s v="Van"/>
    <s v="Diesel"/>
    <n v="58"/>
    <s v="Medium"/>
    <n v="3.79"/>
    <s v="Delayed"/>
    <s v="D002"/>
  </r>
  <r>
    <d v="2025-02-07T00:00:00"/>
    <s v="O0127"/>
    <x v="3"/>
    <s v="England"/>
    <s v="House Shifting"/>
    <s v="Medium Truck"/>
    <s v="Diesel"/>
    <n v="58"/>
    <s v="Medium"/>
    <n v="3.59"/>
    <s v="Delayed"/>
    <s v="D015"/>
  </r>
  <r>
    <d v="2025-03-19T00:00:00"/>
    <s v="O0128"/>
    <x v="1"/>
    <s v="Northern Ireland"/>
    <s v="Fragile Items Delivery"/>
    <s v="Luton Van"/>
    <s v="Diesel"/>
    <n v="161"/>
    <s v="Heavy"/>
    <n v="1.21"/>
    <s v="Delayed"/>
    <s v="D006"/>
  </r>
  <r>
    <d v="2025-01-12T00:00:00"/>
    <s v="O0129"/>
    <x v="0"/>
    <s v="Scotland"/>
    <s v="Fragile Items Delivery"/>
    <s v="Pickup"/>
    <s v="Petrol"/>
    <n v="109"/>
    <s v="Heavy"/>
    <n v="5.09"/>
    <s v="Delayed"/>
    <s v="D007"/>
  </r>
  <r>
    <d v="2025-03-08T00:00:00"/>
    <s v="O0130"/>
    <x v="4"/>
    <s v="England"/>
    <s v="Parcel Delivery"/>
    <s v="Luton Van"/>
    <s v="Diesel"/>
    <n v="14"/>
    <s v="Light"/>
    <n v="6.08"/>
    <s v="Cancelled"/>
    <s v="D004"/>
  </r>
  <r>
    <d v="2025-03-19T00:00:00"/>
    <s v="O0131"/>
    <x v="4"/>
    <s v="England"/>
    <s v="Parcel Delivery"/>
    <s v="Motorcycle"/>
    <s v="Petrol"/>
    <n v="7"/>
    <s v="Light"/>
    <n v="3.47"/>
    <s v="Cancelled"/>
    <s v="D015"/>
  </r>
  <r>
    <d v="2025-02-26T00:00:00"/>
    <s v="O0132"/>
    <x v="3"/>
    <s v="England"/>
    <s v="Office Shifting"/>
    <s v="Van"/>
    <s v="Diesel"/>
    <n v="121"/>
    <s v="Heavy"/>
    <n v="6.11"/>
    <s v="Completed"/>
    <s v="D009"/>
  </r>
  <r>
    <d v="2025-03-19T00:00:00"/>
    <s v="O0133"/>
    <x v="3"/>
    <s v="England"/>
    <s v="Office Shifting"/>
    <s v="Luton Van"/>
    <s v="Diesel"/>
    <n v="72"/>
    <s v="Medium"/>
    <n v="5.53"/>
    <s v="Delayed"/>
    <s v="D009"/>
  </r>
  <r>
    <d v="2025-02-26T00:00:00"/>
    <s v="O0134"/>
    <x v="3"/>
    <s v="England"/>
    <s v="Office Shifting"/>
    <s v="Motorcycle"/>
    <s v="Petrol"/>
    <n v="26"/>
    <s v="Light"/>
    <n v="1.66"/>
    <s v="Cancelled"/>
    <s v="D006"/>
  </r>
  <r>
    <d v="2025-03-08T00:00:00"/>
    <s v="O0135"/>
    <x v="4"/>
    <s v="England"/>
    <s v="Furniture Moving"/>
    <s v="Luton Van"/>
    <s v="Diesel"/>
    <n v="80"/>
    <s v="Heavy"/>
    <n v="4.88"/>
    <s v="Cancelled"/>
    <s v="D004"/>
  </r>
  <r>
    <d v="2025-03-29T00:00:00"/>
    <s v="O0136"/>
    <x v="8"/>
    <s v="England"/>
    <s v="Same-Day Delivery"/>
    <s v="Small Truck"/>
    <s v="Diesel"/>
    <n v="180"/>
    <s v="Heavy"/>
    <n v="3.73"/>
    <s v="Delayed"/>
    <s v="D006"/>
  </r>
  <r>
    <d v="2025-03-04T00:00:00"/>
    <s v="O0137"/>
    <x v="6"/>
    <s v="England"/>
    <s v="Parcel Delivery"/>
    <s v="Pickup"/>
    <s v="Petrol"/>
    <n v="33"/>
    <s v="Medium"/>
    <n v="2.27"/>
    <s v="Completed"/>
    <s v="D003"/>
  </r>
  <r>
    <d v="2025-03-23T00:00:00"/>
    <s v="O0138"/>
    <x v="7"/>
    <s v="England"/>
    <s v="Office Shifting"/>
    <s v="Van"/>
    <s v="Diesel"/>
    <n v="14"/>
    <s v="Light"/>
    <n v="1.7"/>
    <s v="Cancelled"/>
    <s v="D006"/>
  </r>
  <r>
    <d v="2025-02-25T00:00:00"/>
    <s v="O0139"/>
    <x v="8"/>
    <s v="England"/>
    <s v="Fragile Items Delivery"/>
    <s v="Pickup"/>
    <s v="Petrol"/>
    <n v="80"/>
    <s v="Heavy"/>
    <n v="4.3499999999999996"/>
    <s v="Cancelled"/>
    <s v="D003"/>
  </r>
  <r>
    <d v="2025-03-26T00:00:00"/>
    <s v="O0140"/>
    <x v="3"/>
    <s v="England"/>
    <s v="House Shifting"/>
    <s v="Medium Truck"/>
    <s v="Diesel"/>
    <n v="37"/>
    <s v="Medium"/>
    <n v="4.4800000000000004"/>
    <s v="Cancelled"/>
    <s v="D007"/>
  </r>
  <r>
    <d v="2025-01-10T00:00:00"/>
    <s v="O0141"/>
    <x v="0"/>
    <s v="Scotland"/>
    <s v="Office Shifting"/>
    <s v="Pickup"/>
    <s v="Petrol"/>
    <n v="117"/>
    <s v="Heavy"/>
    <n v="2.4700000000000002"/>
    <s v="Completed"/>
    <s v="D006"/>
  </r>
  <r>
    <d v="2025-03-15T00:00:00"/>
    <s v="O0142"/>
    <x v="7"/>
    <s v="England"/>
    <s v="House Shifting"/>
    <s v="Van"/>
    <s v="Diesel"/>
    <n v="152"/>
    <s v="Heavy"/>
    <n v="3.34"/>
    <s v="Cancelled"/>
    <s v="D001"/>
  </r>
  <r>
    <d v="2025-01-29T00:00:00"/>
    <s v="O0143"/>
    <x v="7"/>
    <s v="England"/>
    <s v="Same-Day Delivery"/>
    <s v="Motorcycle"/>
    <s v="Petrol"/>
    <n v="147"/>
    <s v="Heavy"/>
    <n v="1.2"/>
    <s v="Completed"/>
    <s v="D007"/>
  </r>
  <r>
    <d v="2025-01-13T00:00:00"/>
    <s v="O0144"/>
    <x v="4"/>
    <s v="England"/>
    <s v="Parcel Delivery"/>
    <s v="Van"/>
    <s v="Diesel"/>
    <n v="137"/>
    <s v="Heavy"/>
    <n v="5.3"/>
    <s v="Delayed"/>
    <s v="D002"/>
  </r>
  <r>
    <d v="2025-03-03T00:00:00"/>
    <s v="O0145"/>
    <x v="2"/>
    <s v="Scotland"/>
    <s v="Fragile Items Delivery"/>
    <s v="Luton Van"/>
    <s v="Diesel"/>
    <n v="87"/>
    <s v="Heavy"/>
    <n v="1.1299999999999999"/>
    <s v="Delayed"/>
    <s v="D006"/>
  </r>
  <r>
    <d v="2025-03-24T00:00:00"/>
    <s v="O0146"/>
    <x v="1"/>
    <s v="Northern Ireland"/>
    <s v="Fragile Items Delivery"/>
    <s v="Van"/>
    <s v="Diesel"/>
    <n v="60"/>
    <s v="Medium"/>
    <n v="2.5"/>
    <s v="Cancelled"/>
    <s v="D011"/>
  </r>
  <r>
    <d v="2025-03-31T00:00:00"/>
    <s v="O0147"/>
    <x v="8"/>
    <s v="England"/>
    <s v="Furniture Moving"/>
    <s v="Small Truck"/>
    <s v="Diesel"/>
    <n v="34"/>
    <s v="Medium"/>
    <n v="4.46"/>
    <s v="Cancelled"/>
    <s v="D011"/>
  </r>
  <r>
    <d v="2025-01-22T00:00:00"/>
    <s v="O0148"/>
    <x v="0"/>
    <s v="Scotland"/>
    <s v="House Shifting"/>
    <s v="Medium Truck"/>
    <s v="Diesel"/>
    <n v="149"/>
    <s v="Heavy"/>
    <n v="2.56"/>
    <s v="Delayed"/>
    <s v="D011"/>
  </r>
  <r>
    <d v="2025-01-17T00:00:00"/>
    <s v="O0149"/>
    <x v="6"/>
    <s v="England"/>
    <s v="House Shifting"/>
    <s v="Van"/>
    <s v="Diesel"/>
    <n v="102"/>
    <s v="Heavy"/>
    <n v="3.33"/>
    <s v="Delayed"/>
    <s v="D003"/>
  </r>
  <r>
    <d v="2025-01-18T00:00:00"/>
    <s v="O0150"/>
    <x v="7"/>
    <s v="England"/>
    <s v="Furniture Moving"/>
    <s v="Van"/>
    <s v="Diesel"/>
    <n v="72"/>
    <s v="Medium"/>
    <n v="2.8"/>
    <s v="Completed"/>
    <s v="D009"/>
  </r>
  <r>
    <d v="2025-01-26T00:00:00"/>
    <s v="O0151"/>
    <x v="7"/>
    <s v="England"/>
    <s v="Office Shifting"/>
    <s v="Van"/>
    <s v="Diesel"/>
    <n v="71"/>
    <s v="Medium"/>
    <n v="2.5499999999999998"/>
    <s v="Cancelled"/>
    <s v="D009"/>
  </r>
  <r>
    <d v="2025-02-27T00:00:00"/>
    <s v="O0152"/>
    <x v="2"/>
    <s v="Scotland"/>
    <s v="House Shifting"/>
    <s v="Pickup"/>
    <s v="Petrol"/>
    <n v="166"/>
    <s v="Heavy"/>
    <n v="5.82"/>
    <s v="Completed"/>
    <s v="D013"/>
  </r>
  <r>
    <d v="2025-02-06T00:00:00"/>
    <s v="O0153"/>
    <x v="4"/>
    <s v="England"/>
    <s v="Furniture Moving"/>
    <s v="Medium Truck"/>
    <s v="Diesel"/>
    <n v="35"/>
    <s v="Medium"/>
    <n v="3.35"/>
    <s v="Delayed"/>
    <s v="D001"/>
  </r>
  <r>
    <d v="2025-02-12T00:00:00"/>
    <s v="O0154"/>
    <x v="5"/>
    <s v="Wales"/>
    <s v="Parcel Delivery"/>
    <s v="Van"/>
    <s v="Diesel"/>
    <n v="167"/>
    <s v="Heavy"/>
    <n v="6.06"/>
    <s v="Cancelled"/>
    <s v="D001"/>
  </r>
  <r>
    <d v="2025-03-16T00:00:00"/>
    <s v="O0155"/>
    <x v="4"/>
    <s v="England"/>
    <s v="Parcel Delivery"/>
    <s v="Van"/>
    <s v="Diesel"/>
    <n v="8"/>
    <s v="Light"/>
    <n v="3.53"/>
    <s v="Delayed"/>
    <s v="D002"/>
  </r>
  <r>
    <d v="2025-02-19T00:00:00"/>
    <s v="O0156"/>
    <x v="9"/>
    <s v="England"/>
    <s v="Office Shifting"/>
    <s v="Pickup"/>
    <s v="Petrol"/>
    <n v="124"/>
    <s v="Heavy"/>
    <n v="5.49"/>
    <s v="Delayed"/>
    <s v="D013"/>
  </r>
  <r>
    <d v="2025-01-18T00:00:00"/>
    <s v="O0157"/>
    <x v="9"/>
    <s v="England"/>
    <s v="Furniture Moving"/>
    <s v="Van"/>
    <s v="Diesel"/>
    <n v="25"/>
    <s v="Light"/>
    <n v="4.0999999999999996"/>
    <s v="Delayed"/>
    <s v="D003"/>
  </r>
  <r>
    <d v="2025-03-26T00:00:00"/>
    <s v="O0158"/>
    <x v="8"/>
    <s v="England"/>
    <s v="Fragile Items Delivery"/>
    <s v="Luton Van"/>
    <s v="Diesel"/>
    <n v="179"/>
    <s v="Heavy"/>
    <n v="5.44"/>
    <s v="Cancelled"/>
    <s v="D003"/>
  </r>
  <r>
    <d v="2025-01-26T00:00:00"/>
    <s v="O0159"/>
    <x v="6"/>
    <s v="England"/>
    <s v="Fragile Items Delivery"/>
    <s v="Medium Truck"/>
    <s v="Diesel"/>
    <n v="52"/>
    <s v="Medium"/>
    <n v="5.66"/>
    <s v="Delayed"/>
    <s v="D004"/>
  </r>
  <r>
    <d v="2025-03-16T00:00:00"/>
    <s v="O0160"/>
    <x v="2"/>
    <s v="Scotland"/>
    <s v="Furniture Moving"/>
    <s v="Pickup"/>
    <s v="Petrol"/>
    <n v="58"/>
    <s v="Medium"/>
    <n v="3.78"/>
    <s v="Delayed"/>
    <s v="D008"/>
  </r>
  <r>
    <d v="2025-01-09T00:00:00"/>
    <s v="O0161"/>
    <x v="8"/>
    <s v="England"/>
    <s v="Office Shifting"/>
    <s v="Small Truck"/>
    <s v="Diesel"/>
    <n v="62"/>
    <s v="Medium"/>
    <n v="2.66"/>
    <s v="Cancelled"/>
    <s v="D005"/>
  </r>
  <r>
    <d v="2025-01-30T00:00:00"/>
    <s v="O0162"/>
    <x v="3"/>
    <s v="England"/>
    <s v="Office Shifting"/>
    <s v="Pickup"/>
    <s v="Petrol"/>
    <n v="174"/>
    <s v="Heavy"/>
    <n v="5.92"/>
    <s v="Delayed"/>
    <s v="D015"/>
  </r>
  <r>
    <d v="2025-02-12T00:00:00"/>
    <s v="O0163"/>
    <x v="4"/>
    <s v="England"/>
    <s v="Same-Day Delivery"/>
    <s v="Medium Truck"/>
    <s v="Diesel"/>
    <n v="159"/>
    <s v="Heavy"/>
    <n v="3.59"/>
    <s v="Cancelled"/>
    <s v="D014"/>
  </r>
  <r>
    <d v="2025-01-01T00:00:00"/>
    <s v="O0164"/>
    <x v="7"/>
    <s v="England"/>
    <s v="Fragile Items Delivery"/>
    <s v="Van"/>
    <s v="Diesel"/>
    <n v="153"/>
    <s v="Heavy"/>
    <n v="5.25"/>
    <s v="Completed"/>
    <s v="D010"/>
  </r>
  <r>
    <d v="2025-02-08T00:00:00"/>
    <s v="O0165"/>
    <x v="0"/>
    <s v="Scotland"/>
    <s v="Office Shifting"/>
    <s v="Motorcycle"/>
    <s v="Petrol"/>
    <n v="92"/>
    <s v="Heavy"/>
    <n v="1.75"/>
    <s v="Delayed"/>
    <s v="D012"/>
  </r>
  <r>
    <d v="2025-03-25T00:00:00"/>
    <s v="O0166"/>
    <x v="0"/>
    <s v="Scotland"/>
    <s v="Office Shifting"/>
    <s v="Pickup"/>
    <s v="Petrol"/>
    <n v="110"/>
    <s v="Heavy"/>
    <n v="5.97"/>
    <s v="Cancelled"/>
    <s v="D014"/>
  </r>
  <r>
    <d v="2025-03-30T00:00:00"/>
    <s v="O0167"/>
    <x v="3"/>
    <s v="England"/>
    <s v="Furniture Moving"/>
    <s v="Luton Van"/>
    <s v="Diesel"/>
    <n v="91"/>
    <s v="Heavy"/>
    <n v="6.38"/>
    <s v="Cancelled"/>
    <s v="D011"/>
  </r>
  <r>
    <d v="2025-02-11T00:00:00"/>
    <s v="O0168"/>
    <x v="5"/>
    <s v="Wales"/>
    <s v="Parcel Delivery"/>
    <s v="Van"/>
    <s v="Diesel"/>
    <n v="149"/>
    <s v="Heavy"/>
    <n v="3.22"/>
    <s v="Completed"/>
    <s v="D007"/>
  </r>
  <r>
    <d v="2025-03-11T00:00:00"/>
    <s v="O0169"/>
    <x v="2"/>
    <s v="Scotland"/>
    <s v="Fragile Items Delivery"/>
    <s v="Van"/>
    <s v="Diesel"/>
    <n v="85"/>
    <s v="Heavy"/>
    <n v="5.44"/>
    <s v="Cancelled"/>
    <s v="D013"/>
  </r>
  <r>
    <d v="2025-02-15T00:00:00"/>
    <s v="O0170"/>
    <x v="1"/>
    <s v="Northern Ireland"/>
    <s v="Same-Day Delivery"/>
    <s v="Van"/>
    <s v="Diesel"/>
    <n v="150"/>
    <s v="Heavy"/>
    <n v="6.27"/>
    <s v="Cancelled"/>
    <s v="D013"/>
  </r>
  <r>
    <d v="2025-02-28T00:00:00"/>
    <s v="O0171"/>
    <x v="8"/>
    <s v="England"/>
    <s v="Furniture Moving"/>
    <s v="Luton Van"/>
    <s v="Diesel"/>
    <n v="166"/>
    <s v="Heavy"/>
    <n v="2.62"/>
    <s v="Delayed"/>
    <s v="D004"/>
  </r>
  <r>
    <d v="2025-02-08T00:00:00"/>
    <s v="O0172"/>
    <x v="9"/>
    <s v="England"/>
    <s v="Same-Day Delivery"/>
    <s v="Luton Van"/>
    <s v="Diesel"/>
    <n v="148"/>
    <s v="Heavy"/>
    <n v="1.68"/>
    <s v="Cancelled"/>
    <s v="D011"/>
  </r>
  <r>
    <d v="2025-02-09T00:00:00"/>
    <s v="O0173"/>
    <x v="0"/>
    <s v="Scotland"/>
    <s v="House Shifting"/>
    <s v="Pickup"/>
    <s v="Petrol"/>
    <n v="49"/>
    <s v="Medium"/>
    <n v="6.04"/>
    <s v="Cancelled"/>
    <s v="D014"/>
  </r>
  <r>
    <d v="2025-02-09T00:00:00"/>
    <s v="O0174"/>
    <x v="9"/>
    <s v="England"/>
    <s v="Parcel Delivery"/>
    <s v="Van"/>
    <s v="Diesel"/>
    <n v="147"/>
    <s v="Heavy"/>
    <n v="3.73"/>
    <s v="Completed"/>
    <s v="D006"/>
  </r>
  <r>
    <d v="2025-02-05T00:00:00"/>
    <s v="O0175"/>
    <x v="1"/>
    <s v="Northern Ireland"/>
    <s v="Furniture Moving"/>
    <s v="Luton Van"/>
    <s v="Diesel"/>
    <n v="61"/>
    <s v="Medium"/>
    <n v="1.74"/>
    <s v="Cancelled"/>
    <s v="D001"/>
  </r>
  <r>
    <d v="2025-01-07T00:00:00"/>
    <s v="O0176"/>
    <x v="7"/>
    <s v="England"/>
    <s v="Parcel Delivery"/>
    <s v="Medium Truck"/>
    <s v="Diesel"/>
    <n v="42"/>
    <s v="Medium"/>
    <n v="2.72"/>
    <s v="Cancelled"/>
    <s v="D007"/>
  </r>
  <r>
    <d v="2025-01-05T00:00:00"/>
    <s v="O0177"/>
    <x v="5"/>
    <s v="Wales"/>
    <s v="Same-Day Delivery"/>
    <s v="Van"/>
    <s v="Diesel"/>
    <n v="163"/>
    <s v="Heavy"/>
    <n v="5.85"/>
    <s v="Cancelled"/>
    <s v="D002"/>
  </r>
  <r>
    <d v="2025-03-03T00:00:00"/>
    <s v="O0178"/>
    <x v="8"/>
    <s v="England"/>
    <s v="Parcel Delivery"/>
    <s v="Van"/>
    <s v="Diesel"/>
    <n v="44"/>
    <s v="Medium"/>
    <n v="2.65"/>
    <s v="Cancelled"/>
    <s v="D006"/>
  </r>
  <r>
    <d v="2025-01-12T00:00:00"/>
    <s v="O0179"/>
    <x v="7"/>
    <s v="England"/>
    <s v="Fragile Items Delivery"/>
    <s v="Van"/>
    <s v="Diesel"/>
    <n v="130"/>
    <s v="Heavy"/>
    <n v="4.22"/>
    <s v="Delayed"/>
    <s v="D010"/>
  </r>
  <r>
    <d v="2025-01-11T00:00:00"/>
    <s v="O0180"/>
    <x v="6"/>
    <s v="England"/>
    <s v="Parcel Delivery"/>
    <s v="Motorcycle"/>
    <s v="Petrol"/>
    <n v="133"/>
    <s v="Heavy"/>
    <n v="5.54"/>
    <s v="Cancelled"/>
    <s v="D006"/>
  </r>
  <r>
    <m/>
    <m/>
    <x v="1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O0001"/>
    <n v="127"/>
    <n v="69"/>
    <n v="29"/>
    <n v="20"/>
    <n v="0"/>
    <n v="245"/>
  </r>
  <r>
    <s v="O0002"/>
    <n v="76"/>
    <n v="93"/>
    <n v="63"/>
    <n v="40"/>
    <n v="0"/>
    <n v="272"/>
  </r>
  <r>
    <s v="O0003"/>
    <n v="145"/>
    <n v="70"/>
    <n v="14"/>
    <n v="0"/>
    <n v="20"/>
    <n v="209"/>
  </r>
  <r>
    <s v="O0004"/>
    <n v="200"/>
    <n v="111"/>
    <n v="27"/>
    <n v="0"/>
    <n v="0"/>
    <n v="338"/>
  </r>
  <r>
    <s v="O0005"/>
    <n v="108"/>
    <n v="39"/>
    <n v="24"/>
    <n v="0"/>
    <n v="0"/>
    <n v="171"/>
  </r>
  <r>
    <s v="O0006"/>
    <n v="188"/>
    <n v="27"/>
    <n v="68"/>
    <n v="20"/>
    <n v="10"/>
    <n v="293"/>
  </r>
  <r>
    <s v="O0007"/>
    <n v="82"/>
    <n v="100"/>
    <n v="24"/>
    <n v="0"/>
    <n v="0"/>
    <n v="206"/>
  </r>
  <r>
    <s v="O0008"/>
    <n v="154"/>
    <n v="45"/>
    <n v="32"/>
    <n v="0"/>
    <n v="20"/>
    <n v="211"/>
  </r>
  <r>
    <s v="O0009"/>
    <n v="106"/>
    <n v="115"/>
    <n v="51"/>
    <n v="0"/>
    <n v="10"/>
    <n v="262"/>
  </r>
  <r>
    <s v="O0010"/>
    <n v="106"/>
    <n v="86"/>
    <n v="61"/>
    <n v="40"/>
    <n v="10"/>
    <n v="283"/>
  </r>
  <r>
    <s v="O0011"/>
    <n v="191"/>
    <n v="97"/>
    <n v="26"/>
    <n v="40"/>
    <n v="0"/>
    <n v="354"/>
  </r>
  <r>
    <s v="O0012"/>
    <n v="164"/>
    <n v="37"/>
    <n v="11"/>
    <n v="40"/>
    <n v="0"/>
    <n v="252"/>
  </r>
  <r>
    <s v="O0013"/>
    <n v="128"/>
    <n v="105"/>
    <n v="69"/>
    <n v="0"/>
    <n v="20"/>
    <n v="282"/>
  </r>
  <r>
    <s v="O0014"/>
    <n v="86"/>
    <n v="65"/>
    <n v="15"/>
    <n v="0"/>
    <n v="0"/>
    <n v="166"/>
  </r>
  <r>
    <s v="O0015"/>
    <n v="148"/>
    <n v="74"/>
    <n v="59"/>
    <n v="20"/>
    <n v="0"/>
    <n v="301"/>
  </r>
  <r>
    <s v="O0016"/>
    <n v="132"/>
    <n v="102"/>
    <n v="27"/>
    <n v="0"/>
    <n v="20"/>
    <n v="241"/>
  </r>
  <r>
    <s v="O0017"/>
    <n v="97"/>
    <n v="67"/>
    <n v="67"/>
    <n v="0"/>
    <n v="0"/>
    <n v="231"/>
  </r>
  <r>
    <s v="O0018"/>
    <n v="167"/>
    <n v="63"/>
    <n v="12"/>
    <n v="0"/>
    <n v="20"/>
    <n v="222"/>
  </r>
  <r>
    <s v="O0019"/>
    <n v="168"/>
    <n v="21"/>
    <n v="21"/>
    <n v="0"/>
    <n v="0"/>
    <n v="210"/>
  </r>
  <r>
    <s v="O0020"/>
    <n v="120"/>
    <n v="45"/>
    <n v="66"/>
    <n v="0"/>
    <n v="0"/>
    <n v="231"/>
  </r>
  <r>
    <s v="O0021"/>
    <n v="135"/>
    <n v="41"/>
    <n v="14"/>
    <n v="20"/>
    <n v="0"/>
    <n v="210"/>
  </r>
  <r>
    <s v="O0022"/>
    <n v="99"/>
    <n v="67"/>
    <n v="28"/>
    <n v="20"/>
    <n v="0"/>
    <n v="214"/>
  </r>
  <r>
    <s v="O0023"/>
    <n v="103"/>
    <n v="97"/>
    <n v="26"/>
    <n v="20"/>
    <n v="0"/>
    <n v="246"/>
  </r>
  <r>
    <s v="O0024"/>
    <n v="93"/>
    <n v="24"/>
    <n v="58"/>
    <n v="40"/>
    <n v="0"/>
    <n v="215"/>
  </r>
  <r>
    <s v="O0025"/>
    <n v="120"/>
    <n v="24"/>
    <n v="18"/>
    <n v="0"/>
    <n v="20"/>
    <n v="142"/>
  </r>
  <r>
    <s v="O0026"/>
    <n v="91"/>
    <n v="62"/>
    <n v="69"/>
    <n v="40"/>
    <n v="10"/>
    <n v="252"/>
  </r>
  <r>
    <s v="O0027"/>
    <n v="62"/>
    <n v="100"/>
    <n v="50"/>
    <n v="0"/>
    <n v="10"/>
    <n v="202"/>
  </r>
  <r>
    <s v="O0028"/>
    <n v="106"/>
    <n v="59"/>
    <n v="16"/>
    <n v="0"/>
    <n v="20"/>
    <n v="161"/>
  </r>
  <r>
    <s v="O0029"/>
    <n v="113"/>
    <n v="112"/>
    <n v="66"/>
    <n v="0"/>
    <n v="0"/>
    <n v="291"/>
  </r>
  <r>
    <s v="O0030"/>
    <n v="189"/>
    <n v="53"/>
    <n v="61"/>
    <n v="40"/>
    <n v="0"/>
    <n v="343"/>
  </r>
  <r>
    <s v="O0031"/>
    <n v="185"/>
    <n v="89"/>
    <n v="60"/>
    <n v="40"/>
    <n v="0"/>
    <n v="374"/>
  </r>
  <r>
    <s v="O0032"/>
    <n v="120"/>
    <n v="107"/>
    <n v="59"/>
    <n v="40"/>
    <n v="0"/>
    <n v="326"/>
  </r>
  <r>
    <s v="O0033"/>
    <n v="188"/>
    <n v="24"/>
    <n v="63"/>
    <n v="0"/>
    <n v="0"/>
    <n v="275"/>
  </r>
  <r>
    <s v="O0034"/>
    <n v="171"/>
    <n v="54"/>
    <n v="68"/>
    <n v="20"/>
    <n v="0"/>
    <n v="313"/>
  </r>
  <r>
    <s v="O0035"/>
    <n v="194"/>
    <n v="64"/>
    <n v="11"/>
    <n v="20"/>
    <n v="0"/>
    <n v="289"/>
  </r>
  <r>
    <s v="O0036"/>
    <n v="182"/>
    <n v="32"/>
    <n v="48"/>
    <n v="40"/>
    <n v="20"/>
    <n v="282"/>
  </r>
  <r>
    <s v="O0037"/>
    <n v="64"/>
    <n v="29"/>
    <n v="80"/>
    <n v="0"/>
    <n v="20"/>
    <n v="153"/>
  </r>
  <r>
    <s v="O0038"/>
    <n v="157"/>
    <n v="113"/>
    <n v="18"/>
    <n v="0"/>
    <n v="10"/>
    <n v="278"/>
  </r>
  <r>
    <s v="O0039"/>
    <n v="139"/>
    <n v="81"/>
    <n v="79"/>
    <n v="20"/>
    <n v="0"/>
    <n v="319"/>
  </r>
  <r>
    <s v="O0040"/>
    <n v="115"/>
    <n v="29"/>
    <n v="76"/>
    <n v="0"/>
    <n v="20"/>
    <n v="200"/>
  </r>
  <r>
    <s v="O0041"/>
    <n v="87"/>
    <n v="86"/>
    <n v="67"/>
    <n v="40"/>
    <n v="10"/>
    <n v="270"/>
  </r>
  <r>
    <s v="O0042"/>
    <n v="162"/>
    <n v="105"/>
    <n v="79"/>
    <n v="40"/>
    <n v="0"/>
    <n v="386"/>
  </r>
  <r>
    <s v="O0043"/>
    <n v="200"/>
    <n v="51"/>
    <n v="36"/>
    <n v="40"/>
    <n v="10"/>
    <n v="317"/>
  </r>
  <r>
    <s v="O0044"/>
    <n v="130"/>
    <n v="21"/>
    <n v="75"/>
    <n v="40"/>
    <n v="0"/>
    <n v="266"/>
  </r>
  <r>
    <s v="O0045"/>
    <n v="87"/>
    <n v="111"/>
    <n v="32"/>
    <n v="40"/>
    <n v="0"/>
    <n v="270"/>
  </r>
  <r>
    <s v="O0046"/>
    <n v="96"/>
    <n v="34"/>
    <n v="54"/>
    <n v="0"/>
    <n v="0"/>
    <n v="184"/>
  </r>
  <r>
    <s v="O0047"/>
    <n v="158"/>
    <n v="35"/>
    <n v="68"/>
    <n v="40"/>
    <n v="10"/>
    <n v="291"/>
  </r>
  <r>
    <s v="O0048"/>
    <n v="137"/>
    <n v="83"/>
    <n v="16"/>
    <n v="0"/>
    <n v="10"/>
    <n v="226"/>
  </r>
  <r>
    <s v="O0049"/>
    <n v="76"/>
    <n v="54"/>
    <n v="76"/>
    <n v="40"/>
    <n v="20"/>
    <n v="226"/>
  </r>
  <r>
    <s v="O0050"/>
    <n v="138"/>
    <n v="95"/>
    <n v="59"/>
    <n v="0"/>
    <n v="0"/>
    <n v="292"/>
  </r>
  <r>
    <s v="O0051"/>
    <n v="60"/>
    <n v="89"/>
    <n v="10"/>
    <n v="0"/>
    <n v="0"/>
    <n v="159"/>
  </r>
  <r>
    <s v="O0052"/>
    <n v="64"/>
    <n v="68"/>
    <n v="64"/>
    <n v="0"/>
    <n v="0"/>
    <n v="196"/>
  </r>
  <r>
    <s v="O0053"/>
    <n v="132"/>
    <n v="120"/>
    <n v="31"/>
    <n v="40"/>
    <n v="0"/>
    <n v="323"/>
  </r>
  <r>
    <s v="O0054"/>
    <n v="100"/>
    <n v="71"/>
    <n v="33"/>
    <n v="20"/>
    <n v="20"/>
    <n v="204"/>
  </r>
  <r>
    <s v="O0055"/>
    <n v="62"/>
    <n v="85"/>
    <n v="18"/>
    <n v="0"/>
    <n v="10"/>
    <n v="155"/>
  </r>
  <r>
    <s v="O0056"/>
    <n v="177"/>
    <n v="87"/>
    <n v="58"/>
    <n v="0"/>
    <n v="20"/>
    <n v="302"/>
  </r>
  <r>
    <s v="O0057"/>
    <n v="159"/>
    <n v="81"/>
    <n v="40"/>
    <n v="0"/>
    <n v="0"/>
    <n v="280"/>
  </r>
  <r>
    <s v="O0058"/>
    <n v="156"/>
    <n v="27"/>
    <n v="44"/>
    <n v="20"/>
    <n v="20"/>
    <n v="227"/>
  </r>
  <r>
    <s v="O0059"/>
    <n v="191"/>
    <n v="30"/>
    <n v="36"/>
    <n v="0"/>
    <n v="0"/>
    <n v="257"/>
  </r>
  <r>
    <s v="O0060"/>
    <n v="68"/>
    <n v="55"/>
    <n v="17"/>
    <n v="40"/>
    <n v="0"/>
    <n v="180"/>
  </r>
  <r>
    <s v="O0061"/>
    <n v="68"/>
    <n v="38"/>
    <n v="13"/>
    <n v="0"/>
    <n v="0"/>
    <n v="119"/>
  </r>
  <r>
    <s v="O0062"/>
    <n v="192"/>
    <n v="59"/>
    <n v="48"/>
    <n v="0"/>
    <n v="20"/>
    <n v="279"/>
  </r>
  <r>
    <s v="O0063"/>
    <n v="71"/>
    <n v="89"/>
    <n v="20"/>
    <n v="0"/>
    <n v="20"/>
    <n v="160"/>
  </r>
  <r>
    <s v="O0064"/>
    <n v="62"/>
    <n v="20"/>
    <n v="78"/>
    <n v="0"/>
    <n v="10"/>
    <n v="150"/>
  </r>
  <r>
    <s v="O0065"/>
    <n v="108"/>
    <n v="25"/>
    <n v="31"/>
    <n v="40"/>
    <n v="20"/>
    <n v="184"/>
  </r>
  <r>
    <s v="O0066"/>
    <n v="162"/>
    <n v="112"/>
    <n v="29"/>
    <n v="40"/>
    <n v="0"/>
    <n v="343"/>
  </r>
  <r>
    <s v="O0067"/>
    <n v="128"/>
    <n v="71"/>
    <n v="22"/>
    <n v="0"/>
    <n v="20"/>
    <n v="201"/>
  </r>
  <r>
    <s v="O0068"/>
    <n v="97"/>
    <n v="116"/>
    <n v="41"/>
    <n v="0"/>
    <n v="0"/>
    <n v="254"/>
  </r>
  <r>
    <s v="O0069"/>
    <n v="186"/>
    <n v="20"/>
    <n v="24"/>
    <n v="20"/>
    <n v="10"/>
    <n v="240"/>
  </r>
  <r>
    <s v="O0070"/>
    <n v="186"/>
    <n v="90"/>
    <n v="42"/>
    <n v="0"/>
    <n v="0"/>
    <n v="318"/>
  </r>
  <r>
    <s v="O0071"/>
    <n v="100"/>
    <n v="59"/>
    <n v="75"/>
    <n v="20"/>
    <n v="10"/>
    <n v="244"/>
  </r>
  <r>
    <s v="O0072"/>
    <n v="95"/>
    <n v="102"/>
    <n v="71"/>
    <n v="0"/>
    <n v="10"/>
    <n v="258"/>
  </r>
  <r>
    <s v="O0073"/>
    <n v="73"/>
    <n v="62"/>
    <n v="79"/>
    <n v="40"/>
    <n v="10"/>
    <n v="244"/>
  </r>
  <r>
    <s v="O0074"/>
    <n v="95"/>
    <n v="119"/>
    <n v="63"/>
    <n v="40"/>
    <n v="10"/>
    <n v="307"/>
  </r>
  <r>
    <s v="O0075"/>
    <n v="159"/>
    <n v="21"/>
    <n v="21"/>
    <n v="20"/>
    <n v="20"/>
    <n v="201"/>
  </r>
  <r>
    <s v="O0076"/>
    <n v="191"/>
    <n v="85"/>
    <n v="26"/>
    <n v="20"/>
    <n v="0"/>
    <n v="322"/>
  </r>
  <r>
    <s v="O0077"/>
    <n v="153"/>
    <n v="102"/>
    <n v="76"/>
    <n v="0"/>
    <n v="0"/>
    <n v="331"/>
  </r>
  <r>
    <s v="O0078"/>
    <n v="165"/>
    <n v="68"/>
    <n v="57"/>
    <n v="20"/>
    <n v="20"/>
    <n v="290"/>
  </r>
  <r>
    <s v="O0079"/>
    <n v="90"/>
    <n v="111"/>
    <n v="66"/>
    <n v="0"/>
    <n v="0"/>
    <n v="267"/>
  </r>
  <r>
    <s v="O0080"/>
    <n v="65"/>
    <n v="113"/>
    <n v="41"/>
    <n v="40"/>
    <n v="10"/>
    <n v="249"/>
  </r>
  <r>
    <s v="O0081"/>
    <n v="106"/>
    <n v="30"/>
    <n v="71"/>
    <n v="0"/>
    <n v="0"/>
    <n v="207"/>
  </r>
  <r>
    <s v="O0082"/>
    <n v="176"/>
    <n v="110"/>
    <n v="79"/>
    <n v="40"/>
    <n v="20"/>
    <n v="385"/>
  </r>
  <r>
    <s v="O0083"/>
    <n v="172"/>
    <n v="80"/>
    <n v="12"/>
    <n v="0"/>
    <n v="0"/>
    <n v="264"/>
  </r>
  <r>
    <s v="O0084"/>
    <n v="153"/>
    <n v="65"/>
    <n v="53"/>
    <n v="20"/>
    <n v="10"/>
    <n v="281"/>
  </r>
  <r>
    <s v="O0085"/>
    <n v="89"/>
    <n v="102"/>
    <n v="76"/>
    <n v="0"/>
    <n v="10"/>
    <n v="257"/>
  </r>
  <r>
    <s v="O0086"/>
    <n v="106"/>
    <n v="64"/>
    <n v="49"/>
    <n v="0"/>
    <n v="10"/>
    <n v="209"/>
  </r>
  <r>
    <s v="O0087"/>
    <n v="114"/>
    <n v="30"/>
    <n v="26"/>
    <n v="0"/>
    <n v="20"/>
    <n v="150"/>
  </r>
  <r>
    <s v="O0088"/>
    <n v="72"/>
    <n v="43"/>
    <n v="46"/>
    <n v="20"/>
    <n v="0"/>
    <n v="181"/>
  </r>
  <r>
    <s v="O0089"/>
    <n v="80"/>
    <n v="115"/>
    <n v="58"/>
    <n v="40"/>
    <n v="20"/>
    <n v="273"/>
  </r>
  <r>
    <s v="O0090"/>
    <n v="133"/>
    <n v="38"/>
    <n v="79"/>
    <n v="20"/>
    <n v="0"/>
    <n v="270"/>
  </r>
  <r>
    <s v="O0091"/>
    <n v="128"/>
    <n v="26"/>
    <n v="67"/>
    <n v="0"/>
    <n v="0"/>
    <n v="221"/>
  </r>
  <r>
    <s v="O0092"/>
    <n v="142"/>
    <n v="99"/>
    <n v="51"/>
    <n v="0"/>
    <n v="0"/>
    <n v="292"/>
  </r>
  <r>
    <s v="O0093"/>
    <n v="106"/>
    <n v="104"/>
    <n v="38"/>
    <n v="0"/>
    <n v="0"/>
    <n v="248"/>
  </r>
  <r>
    <s v="O0094"/>
    <n v="61"/>
    <n v="27"/>
    <n v="63"/>
    <n v="40"/>
    <n v="0"/>
    <n v="191"/>
  </r>
  <r>
    <s v="O0095"/>
    <n v="151"/>
    <n v="29"/>
    <n v="19"/>
    <n v="20"/>
    <n v="20"/>
    <n v="199"/>
  </r>
  <r>
    <s v="O0096"/>
    <n v="69"/>
    <n v="117"/>
    <n v="59"/>
    <n v="20"/>
    <n v="0"/>
    <n v="265"/>
  </r>
  <r>
    <s v="O0097"/>
    <n v="77"/>
    <n v="55"/>
    <n v="52"/>
    <n v="20"/>
    <n v="0"/>
    <n v="204"/>
  </r>
  <r>
    <s v="O0098"/>
    <n v="106"/>
    <n v="66"/>
    <n v="62"/>
    <n v="40"/>
    <n v="0"/>
    <n v="274"/>
  </r>
  <r>
    <s v="O0099"/>
    <n v="86"/>
    <n v="57"/>
    <n v="28"/>
    <n v="0"/>
    <n v="10"/>
    <n v="161"/>
  </r>
  <r>
    <s v="O0100"/>
    <n v="110"/>
    <n v="116"/>
    <n v="73"/>
    <n v="0"/>
    <n v="0"/>
    <n v="299"/>
  </r>
  <r>
    <s v="O0101"/>
    <n v="115"/>
    <n v="116"/>
    <n v="50"/>
    <n v="20"/>
    <n v="20"/>
    <n v="281"/>
  </r>
  <r>
    <s v="O0102"/>
    <n v="105"/>
    <n v="78"/>
    <n v="44"/>
    <n v="20"/>
    <n v="20"/>
    <n v="227"/>
  </r>
  <r>
    <s v="O0103"/>
    <n v="115"/>
    <n v="87"/>
    <n v="79"/>
    <n v="0"/>
    <n v="0"/>
    <n v="281"/>
  </r>
  <r>
    <s v="O0104"/>
    <n v="99"/>
    <n v="112"/>
    <n v="46"/>
    <n v="20"/>
    <n v="10"/>
    <n v="267"/>
  </r>
  <r>
    <s v="O0105"/>
    <n v="109"/>
    <n v="28"/>
    <n v="22"/>
    <n v="20"/>
    <n v="20"/>
    <n v="159"/>
  </r>
  <r>
    <s v="O0106"/>
    <n v="173"/>
    <n v="85"/>
    <n v="63"/>
    <n v="0"/>
    <n v="10"/>
    <n v="311"/>
  </r>
  <r>
    <s v="O0107"/>
    <n v="164"/>
    <n v="106"/>
    <n v="62"/>
    <n v="40"/>
    <n v="0"/>
    <n v="372"/>
  </r>
  <r>
    <s v="O0108"/>
    <n v="157"/>
    <n v="31"/>
    <n v="77"/>
    <n v="0"/>
    <n v="0"/>
    <n v="265"/>
  </r>
  <r>
    <s v="O0109"/>
    <n v="109"/>
    <n v="88"/>
    <n v="79"/>
    <n v="40"/>
    <n v="10"/>
    <n v="306"/>
  </r>
  <r>
    <s v="O0110"/>
    <n v="148"/>
    <n v="59"/>
    <n v="79"/>
    <n v="40"/>
    <n v="10"/>
    <n v="316"/>
  </r>
  <r>
    <s v="O0111"/>
    <n v="191"/>
    <n v="95"/>
    <n v="40"/>
    <n v="0"/>
    <n v="0"/>
    <n v="326"/>
  </r>
  <r>
    <s v="O0112"/>
    <n v="135"/>
    <n v="53"/>
    <n v="76"/>
    <n v="0"/>
    <n v="20"/>
    <n v="244"/>
  </r>
  <r>
    <s v="O0113"/>
    <n v="142"/>
    <n v="69"/>
    <n v="40"/>
    <n v="20"/>
    <n v="0"/>
    <n v="271"/>
  </r>
  <r>
    <s v="O0114"/>
    <n v="74"/>
    <n v="20"/>
    <n v="52"/>
    <n v="0"/>
    <n v="10"/>
    <n v="136"/>
  </r>
  <r>
    <s v="O0115"/>
    <n v="142"/>
    <n v="119"/>
    <n v="42"/>
    <n v="20"/>
    <n v="0"/>
    <n v="323"/>
  </r>
  <r>
    <s v="O0116"/>
    <n v="116"/>
    <n v="58"/>
    <n v="66"/>
    <n v="0"/>
    <n v="0"/>
    <n v="240"/>
  </r>
  <r>
    <s v="O0117"/>
    <n v="189"/>
    <n v="38"/>
    <n v="53"/>
    <n v="0"/>
    <n v="0"/>
    <n v="280"/>
  </r>
  <r>
    <s v="O0118"/>
    <n v="121"/>
    <n v="21"/>
    <n v="22"/>
    <n v="0"/>
    <n v="20"/>
    <n v="144"/>
  </r>
  <r>
    <s v="O0119"/>
    <n v="146"/>
    <n v="32"/>
    <n v="50"/>
    <n v="0"/>
    <n v="10"/>
    <n v="218"/>
  </r>
  <r>
    <s v="O0120"/>
    <n v="126"/>
    <n v="63"/>
    <n v="33"/>
    <n v="0"/>
    <n v="10"/>
    <n v="212"/>
  </r>
  <r>
    <s v="O0121"/>
    <n v="72"/>
    <n v="71"/>
    <n v="23"/>
    <n v="40"/>
    <n v="0"/>
    <n v="206"/>
  </r>
  <r>
    <s v="O0122"/>
    <n v="90"/>
    <n v="31"/>
    <n v="68"/>
    <n v="20"/>
    <n v="0"/>
    <n v="209"/>
  </r>
  <r>
    <s v="O0123"/>
    <n v="84"/>
    <n v="33"/>
    <n v="73"/>
    <n v="20"/>
    <n v="0"/>
    <n v="210"/>
  </r>
  <r>
    <s v="O0124"/>
    <n v="118"/>
    <n v="63"/>
    <n v="12"/>
    <n v="40"/>
    <n v="10"/>
    <n v="223"/>
  </r>
  <r>
    <s v="O0125"/>
    <n v="188"/>
    <n v="29"/>
    <n v="74"/>
    <n v="0"/>
    <n v="0"/>
    <n v="291"/>
  </r>
  <r>
    <s v="O0126"/>
    <n v="190"/>
    <n v="62"/>
    <n v="76"/>
    <n v="40"/>
    <n v="10"/>
    <n v="358"/>
  </r>
  <r>
    <s v="O0127"/>
    <n v="101"/>
    <n v="104"/>
    <n v="29"/>
    <n v="0"/>
    <n v="10"/>
    <n v="224"/>
  </r>
  <r>
    <s v="O0128"/>
    <n v="81"/>
    <n v="79"/>
    <n v="64"/>
    <n v="0"/>
    <n v="0"/>
    <n v="224"/>
  </r>
  <r>
    <s v="O0129"/>
    <n v="79"/>
    <n v="51"/>
    <n v="19"/>
    <n v="0"/>
    <n v="0"/>
    <n v="149"/>
  </r>
  <r>
    <s v="O0130"/>
    <n v="173"/>
    <n v="105"/>
    <n v="39"/>
    <n v="40"/>
    <n v="0"/>
    <n v="357"/>
  </r>
  <r>
    <s v="O0131"/>
    <n v="179"/>
    <n v="110"/>
    <n v="22"/>
    <n v="0"/>
    <n v="20"/>
    <n v="291"/>
  </r>
  <r>
    <s v="O0132"/>
    <n v="69"/>
    <n v="38"/>
    <n v="65"/>
    <n v="20"/>
    <n v="0"/>
    <n v="192"/>
  </r>
  <r>
    <s v="O0133"/>
    <n v="200"/>
    <n v="37"/>
    <n v="74"/>
    <n v="0"/>
    <n v="0"/>
    <n v="311"/>
  </r>
  <r>
    <s v="O0134"/>
    <n v="65"/>
    <n v="116"/>
    <n v="63"/>
    <n v="40"/>
    <n v="0"/>
    <n v="284"/>
  </r>
  <r>
    <s v="O0135"/>
    <n v="123"/>
    <n v="41"/>
    <n v="65"/>
    <n v="40"/>
    <n v="20"/>
    <n v="249"/>
  </r>
  <r>
    <s v="O0136"/>
    <n v="64"/>
    <n v="24"/>
    <n v="70"/>
    <n v="0"/>
    <n v="0"/>
    <n v="158"/>
  </r>
  <r>
    <s v="O0137"/>
    <n v="108"/>
    <n v="20"/>
    <n v="30"/>
    <n v="0"/>
    <n v="20"/>
    <n v="138"/>
  </r>
  <r>
    <s v="O0138"/>
    <n v="158"/>
    <n v="27"/>
    <n v="56"/>
    <n v="0"/>
    <n v="0"/>
    <n v="241"/>
  </r>
  <r>
    <s v="O0139"/>
    <n v="83"/>
    <n v="27"/>
    <n v="37"/>
    <n v="40"/>
    <n v="0"/>
    <n v="187"/>
  </r>
  <r>
    <s v="O0140"/>
    <n v="137"/>
    <n v="104"/>
    <n v="27"/>
    <n v="20"/>
    <n v="0"/>
    <n v="288"/>
  </r>
  <r>
    <s v="O0141"/>
    <n v="125"/>
    <n v="85"/>
    <n v="10"/>
    <n v="0"/>
    <n v="0"/>
    <n v="220"/>
  </r>
  <r>
    <s v="O0142"/>
    <n v="83"/>
    <n v="36"/>
    <n v="57"/>
    <n v="20"/>
    <n v="0"/>
    <n v="196"/>
  </r>
  <r>
    <s v="O0143"/>
    <n v="89"/>
    <n v="31"/>
    <n v="30"/>
    <n v="0"/>
    <n v="0"/>
    <n v="150"/>
  </r>
  <r>
    <s v="O0144"/>
    <n v="116"/>
    <n v="98"/>
    <n v="50"/>
    <n v="0"/>
    <n v="0"/>
    <n v="264"/>
  </r>
  <r>
    <s v="O0145"/>
    <n v="80"/>
    <n v="110"/>
    <n v="57"/>
    <n v="0"/>
    <n v="0"/>
    <n v="247"/>
  </r>
  <r>
    <s v="O0146"/>
    <n v="153"/>
    <n v="94"/>
    <n v="52"/>
    <n v="0"/>
    <n v="0"/>
    <n v="299"/>
  </r>
  <r>
    <s v="O0147"/>
    <n v="133"/>
    <n v="68"/>
    <n v="51"/>
    <n v="40"/>
    <n v="0"/>
    <n v="292"/>
  </r>
  <r>
    <s v="O0148"/>
    <n v="77"/>
    <n v="52"/>
    <n v="70"/>
    <n v="0"/>
    <n v="10"/>
    <n v="189"/>
  </r>
  <r>
    <s v="O0149"/>
    <n v="184"/>
    <n v="98"/>
    <n v="65"/>
    <n v="20"/>
    <n v="10"/>
    <n v="357"/>
  </r>
  <r>
    <s v="O0150"/>
    <n v="159"/>
    <n v="63"/>
    <n v="14"/>
    <n v="20"/>
    <n v="10"/>
    <n v="246"/>
  </r>
  <r>
    <s v="O0151"/>
    <n v="143"/>
    <n v="117"/>
    <n v="70"/>
    <n v="20"/>
    <n v="10"/>
    <n v="340"/>
  </r>
  <r>
    <s v="O0152"/>
    <n v="65"/>
    <n v="23"/>
    <n v="60"/>
    <n v="20"/>
    <n v="0"/>
    <n v="168"/>
  </r>
  <r>
    <s v="O0153"/>
    <n v="84"/>
    <n v="112"/>
    <n v="21"/>
    <n v="20"/>
    <n v="10"/>
    <n v="227"/>
  </r>
  <r>
    <s v="O0154"/>
    <n v="74"/>
    <n v="82"/>
    <n v="77"/>
    <n v="0"/>
    <n v="20"/>
    <n v="213"/>
  </r>
  <r>
    <s v="O0155"/>
    <n v="197"/>
    <n v="118"/>
    <n v="63"/>
    <n v="0"/>
    <n v="20"/>
    <n v="358"/>
  </r>
  <r>
    <s v="O0156"/>
    <n v="137"/>
    <n v="38"/>
    <n v="65"/>
    <n v="0"/>
    <n v="20"/>
    <n v="220"/>
  </r>
  <r>
    <s v="O0157"/>
    <n v="189"/>
    <n v="40"/>
    <n v="25"/>
    <n v="40"/>
    <n v="0"/>
    <n v="294"/>
  </r>
  <r>
    <s v="O0158"/>
    <n v="93"/>
    <n v="37"/>
    <n v="51"/>
    <n v="20"/>
    <n v="10"/>
    <n v="191"/>
  </r>
  <r>
    <s v="O0159"/>
    <n v="65"/>
    <n v="85"/>
    <n v="19"/>
    <n v="0"/>
    <n v="10"/>
    <n v="159"/>
  </r>
  <r>
    <s v="O0160"/>
    <n v="185"/>
    <n v="62"/>
    <n v="24"/>
    <n v="40"/>
    <n v="20"/>
    <n v="291"/>
  </r>
  <r>
    <s v="O0161"/>
    <n v="120"/>
    <n v="86"/>
    <n v="17"/>
    <n v="0"/>
    <n v="0"/>
    <n v="223"/>
  </r>
  <r>
    <s v="O0162"/>
    <n v="94"/>
    <n v="104"/>
    <n v="38"/>
    <n v="0"/>
    <n v="20"/>
    <n v="216"/>
  </r>
  <r>
    <s v="O0163"/>
    <n v="190"/>
    <n v="93"/>
    <n v="15"/>
    <n v="40"/>
    <n v="10"/>
    <n v="328"/>
  </r>
  <r>
    <s v="O0164"/>
    <n v="151"/>
    <n v="110"/>
    <n v="64"/>
    <n v="40"/>
    <n v="10"/>
    <n v="355"/>
  </r>
  <r>
    <s v="O0165"/>
    <n v="200"/>
    <n v="86"/>
    <n v="53"/>
    <n v="40"/>
    <n v="20"/>
    <n v="359"/>
  </r>
  <r>
    <s v="O0166"/>
    <n v="137"/>
    <n v="51"/>
    <n v="56"/>
    <n v="20"/>
    <n v="0"/>
    <n v="264"/>
  </r>
  <r>
    <s v="O0167"/>
    <n v="75"/>
    <n v="92"/>
    <n v="64"/>
    <n v="20"/>
    <n v="20"/>
    <n v="231"/>
  </r>
  <r>
    <s v="O0168"/>
    <n v="170"/>
    <n v="49"/>
    <n v="47"/>
    <n v="40"/>
    <n v="20"/>
    <n v="286"/>
  </r>
  <r>
    <s v="O0169"/>
    <n v="197"/>
    <n v="95"/>
    <n v="40"/>
    <n v="0"/>
    <n v="0"/>
    <n v="332"/>
  </r>
  <r>
    <s v="O0170"/>
    <n v="80"/>
    <n v="118"/>
    <n v="57"/>
    <n v="0"/>
    <n v="10"/>
    <n v="245"/>
  </r>
  <r>
    <s v="O0171"/>
    <n v="64"/>
    <n v="107"/>
    <n v="32"/>
    <n v="40"/>
    <n v="0"/>
    <n v="243"/>
  </r>
  <r>
    <s v="O0172"/>
    <n v="145"/>
    <n v="112"/>
    <n v="66"/>
    <n v="40"/>
    <n v="0"/>
    <n v="363"/>
  </r>
  <r>
    <s v="O0173"/>
    <n v="134"/>
    <n v="56"/>
    <n v="77"/>
    <n v="0"/>
    <n v="0"/>
    <n v="267"/>
  </r>
  <r>
    <s v="O0174"/>
    <n v="93"/>
    <n v="43"/>
    <n v="70"/>
    <n v="0"/>
    <n v="0"/>
    <n v="206"/>
  </r>
  <r>
    <s v="O0175"/>
    <n v="79"/>
    <n v="74"/>
    <n v="70"/>
    <n v="40"/>
    <n v="10"/>
    <n v="253"/>
  </r>
  <r>
    <s v="O0176"/>
    <n v="147"/>
    <n v="105"/>
    <n v="58"/>
    <n v="0"/>
    <n v="20"/>
    <n v="290"/>
  </r>
  <r>
    <s v="O0177"/>
    <n v="148"/>
    <n v="69"/>
    <n v="28"/>
    <n v="40"/>
    <n v="0"/>
    <n v="285"/>
  </r>
  <r>
    <s v="O0178"/>
    <n v="73"/>
    <n v="108"/>
    <n v="36"/>
    <n v="0"/>
    <n v="10"/>
    <n v="207"/>
  </r>
  <r>
    <s v="O0179"/>
    <n v="72"/>
    <n v="38"/>
    <n v="58"/>
    <n v="0"/>
    <n v="20"/>
    <n v="148"/>
  </r>
  <r>
    <s v="O0180"/>
    <n v="166"/>
    <n v="119"/>
    <n v="76"/>
    <n v="20"/>
    <n v="20"/>
    <n v="3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1D894-D81B-478B-93F5-B65241B211E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2">
    <pivotField showAll="0"/>
    <pivotField dataField="1" showAll="0"/>
    <pivotField axis="axisRow" showAll="0">
      <items count="12">
        <item x="1"/>
        <item x="6"/>
        <item x="9"/>
        <item x="5"/>
        <item x="0"/>
        <item x="2"/>
        <item x="8"/>
        <item x="4"/>
        <item x="3"/>
        <item x="7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Ord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399D7-700A-42C2-9472-9FC4E4E7AE8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3F62-D173-47D2-9039-F48A9DECBB0B}">
  <dimension ref="A1:B8"/>
  <sheetViews>
    <sheetView workbookViewId="0">
      <selection activeCell="E11" sqref="E11"/>
    </sheetView>
  </sheetViews>
  <sheetFormatPr defaultRowHeight="15" x14ac:dyDescent="0.25"/>
  <cols>
    <col min="1" max="1" width="23" customWidth="1"/>
    <col min="2" max="2" width="12" bestFit="1" customWidth="1"/>
  </cols>
  <sheetData>
    <row r="1" spans="1:2" x14ac:dyDescent="0.25">
      <c r="A1" s="2" t="s">
        <v>291</v>
      </c>
      <c r="B1" s="2" t="s">
        <v>292</v>
      </c>
    </row>
    <row r="2" spans="1:2" ht="30" x14ac:dyDescent="0.25">
      <c r="A2" s="2" t="s">
        <v>293</v>
      </c>
      <c r="B2" s="2">
        <f>COUNTA(Daily_Deliveries!A2:A1000)</f>
        <v>180</v>
      </c>
    </row>
    <row r="3" spans="1:2" x14ac:dyDescent="0.25">
      <c r="A3" s="5" t="s">
        <v>294</v>
      </c>
      <c r="B3" s="5">
        <f>SUM(Revenue_Details!G2:G1000)</f>
        <v>45220</v>
      </c>
    </row>
    <row r="4" spans="1:2" x14ac:dyDescent="0.25">
      <c r="A4" s="2" t="s">
        <v>295</v>
      </c>
      <c r="B4" s="5">
        <f>SUM(Cost_Details!I2:I1000)</f>
        <v>43920</v>
      </c>
    </row>
    <row r="5" spans="1:2" x14ac:dyDescent="0.25">
      <c r="A5" s="2" t="s">
        <v>296</v>
      </c>
      <c r="B5" s="5">
        <f>B3-B4</f>
        <v>1300</v>
      </c>
    </row>
    <row r="6" spans="1:2" x14ac:dyDescent="0.25">
      <c r="A6" s="2" t="s">
        <v>297</v>
      </c>
      <c r="B6" s="5">
        <f>B4/B2</f>
        <v>244</v>
      </c>
    </row>
    <row r="7" spans="1:2" ht="45" x14ac:dyDescent="0.25">
      <c r="A7" s="2" t="s">
        <v>298</v>
      </c>
      <c r="B7" s="3">
        <f>COUNTIF(Daily_Deliveries!K2:K1000,"Completed")/B2</f>
        <v>0.3</v>
      </c>
    </row>
    <row r="8" spans="1:2" ht="60" x14ac:dyDescent="0.25">
      <c r="A8" s="2" t="s">
        <v>299</v>
      </c>
      <c r="B8" s="4">
        <f>AVERAGE(Daily_Deliveries!J2:J1000)</f>
        <v>3.7052222222222224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3C29-5CF8-489A-B0B7-00A350125AC9}">
  <dimension ref="A3:B1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15" t="s">
        <v>300</v>
      </c>
      <c r="B3" t="s">
        <v>303</v>
      </c>
    </row>
    <row r="4" spans="1:2" x14ac:dyDescent="0.25">
      <c r="A4" s="16" t="s">
        <v>22</v>
      </c>
      <c r="B4" s="17">
        <v>18</v>
      </c>
    </row>
    <row r="5" spans="1:2" x14ac:dyDescent="0.25">
      <c r="A5" s="16" t="s">
        <v>53</v>
      </c>
      <c r="B5" s="17">
        <v>15</v>
      </c>
    </row>
    <row r="6" spans="1:2" x14ac:dyDescent="0.25">
      <c r="A6" s="16" t="s">
        <v>98</v>
      </c>
      <c r="B6" s="17">
        <v>12</v>
      </c>
    </row>
    <row r="7" spans="1:2" x14ac:dyDescent="0.25">
      <c r="A7" s="16" t="s">
        <v>45</v>
      </c>
      <c r="B7" s="17">
        <v>17</v>
      </c>
    </row>
    <row r="8" spans="1:2" x14ac:dyDescent="0.25">
      <c r="A8" s="16" t="s">
        <v>13</v>
      </c>
      <c r="B8" s="17">
        <v>25</v>
      </c>
    </row>
    <row r="9" spans="1:2" x14ac:dyDescent="0.25">
      <c r="A9" s="16" t="s">
        <v>30</v>
      </c>
      <c r="B9" s="17">
        <v>12</v>
      </c>
    </row>
    <row r="10" spans="1:2" x14ac:dyDescent="0.25">
      <c r="A10" s="16" t="s">
        <v>62</v>
      </c>
      <c r="B10" s="17">
        <v>21</v>
      </c>
    </row>
    <row r="11" spans="1:2" x14ac:dyDescent="0.25">
      <c r="A11" s="16" t="s">
        <v>41</v>
      </c>
      <c r="B11" s="17">
        <v>18</v>
      </c>
    </row>
    <row r="12" spans="1:2" x14ac:dyDescent="0.25">
      <c r="A12" s="16" t="s">
        <v>36</v>
      </c>
      <c r="B12" s="17">
        <v>26</v>
      </c>
    </row>
    <row r="13" spans="1:2" x14ac:dyDescent="0.25">
      <c r="A13" s="16" t="s">
        <v>57</v>
      </c>
      <c r="B13" s="17">
        <v>16</v>
      </c>
    </row>
    <row r="14" spans="1:2" x14ac:dyDescent="0.25">
      <c r="A14" s="16" t="s">
        <v>301</v>
      </c>
      <c r="B14" s="17"/>
    </row>
    <row r="15" spans="1:2" x14ac:dyDescent="0.25">
      <c r="A15" s="16" t="s">
        <v>302</v>
      </c>
      <c r="B15" s="17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workbookViewId="0">
      <selection activeCell="K2" sqref="A1:XFD1048576"/>
    </sheetView>
  </sheetViews>
  <sheetFormatPr defaultRowHeight="15" x14ac:dyDescent="0.25"/>
  <cols>
    <col min="1" max="1" width="10.42578125" bestFit="1" customWidth="1"/>
    <col min="3" max="3" width="11.7109375" bestFit="1" customWidth="1"/>
    <col min="4" max="4" width="16" bestFit="1" customWidth="1"/>
    <col min="5" max="5" width="20.5703125" bestFit="1" customWidth="1"/>
    <col min="6" max="6" width="13.7109375" bestFit="1" customWidth="1"/>
    <col min="7" max="7" width="10.140625" bestFit="1" customWidth="1"/>
    <col min="8" max="8" width="12.28515625" bestFit="1" customWidth="1"/>
    <col min="9" max="9" width="10.42578125" bestFit="1" customWidth="1"/>
    <col min="10" max="10" width="16.85546875" bestFit="1" customWidth="1"/>
    <col min="11" max="11" width="1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45742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142</v>
      </c>
      <c r="I2" t="s">
        <v>18</v>
      </c>
      <c r="J2">
        <v>3.25</v>
      </c>
      <c r="K2" t="s">
        <v>19</v>
      </c>
      <c r="L2" t="s">
        <v>20</v>
      </c>
    </row>
    <row r="3" spans="1:12" x14ac:dyDescent="0.25">
      <c r="A3" s="1">
        <v>45729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48</v>
      </c>
      <c r="I3" t="s">
        <v>27</v>
      </c>
      <c r="J3">
        <v>5.69</v>
      </c>
      <c r="K3" t="s">
        <v>19</v>
      </c>
      <c r="L3" t="s">
        <v>28</v>
      </c>
    </row>
    <row r="4" spans="1:12" x14ac:dyDescent="0.25">
      <c r="A4" s="1">
        <v>45707</v>
      </c>
      <c r="B4" t="s">
        <v>29</v>
      </c>
      <c r="C4" t="s">
        <v>30</v>
      </c>
      <c r="D4" t="s">
        <v>14</v>
      </c>
      <c r="E4" t="s">
        <v>15</v>
      </c>
      <c r="F4" t="s">
        <v>31</v>
      </c>
      <c r="G4" t="s">
        <v>26</v>
      </c>
      <c r="H4">
        <v>163</v>
      </c>
      <c r="I4" t="s">
        <v>18</v>
      </c>
      <c r="J4">
        <v>2.09</v>
      </c>
      <c r="K4" t="s">
        <v>32</v>
      </c>
      <c r="L4" t="s">
        <v>28</v>
      </c>
    </row>
    <row r="5" spans="1:12" x14ac:dyDescent="0.25">
      <c r="A5" s="1">
        <v>45723</v>
      </c>
      <c r="B5" t="s">
        <v>33</v>
      </c>
      <c r="C5" t="s">
        <v>13</v>
      </c>
      <c r="D5" t="s">
        <v>14</v>
      </c>
      <c r="E5" t="s">
        <v>24</v>
      </c>
      <c r="F5" t="s">
        <v>31</v>
      </c>
      <c r="G5" t="s">
        <v>26</v>
      </c>
      <c r="H5">
        <v>110</v>
      </c>
      <c r="I5" t="s">
        <v>18</v>
      </c>
      <c r="J5">
        <v>3.21</v>
      </c>
      <c r="K5" t="s">
        <v>34</v>
      </c>
      <c r="L5" t="s">
        <v>28</v>
      </c>
    </row>
    <row r="6" spans="1:12" x14ac:dyDescent="0.25">
      <c r="A6" s="1">
        <v>45721</v>
      </c>
      <c r="B6" t="s">
        <v>35</v>
      </c>
      <c r="C6" t="s">
        <v>36</v>
      </c>
      <c r="D6" t="s">
        <v>37</v>
      </c>
      <c r="E6" t="s">
        <v>38</v>
      </c>
      <c r="F6" t="s">
        <v>31</v>
      </c>
      <c r="G6" t="s">
        <v>26</v>
      </c>
      <c r="H6">
        <v>95</v>
      </c>
      <c r="I6" t="s">
        <v>18</v>
      </c>
      <c r="J6">
        <v>6.22</v>
      </c>
      <c r="K6" t="s">
        <v>32</v>
      </c>
      <c r="L6" t="s">
        <v>39</v>
      </c>
    </row>
    <row r="7" spans="1:12" x14ac:dyDescent="0.25">
      <c r="A7" s="1">
        <v>45687</v>
      </c>
      <c r="B7" t="s">
        <v>40</v>
      </c>
      <c r="C7" t="s">
        <v>41</v>
      </c>
      <c r="D7" t="s">
        <v>37</v>
      </c>
      <c r="E7" t="s">
        <v>15</v>
      </c>
      <c r="F7" t="s">
        <v>42</v>
      </c>
      <c r="G7" t="s">
        <v>17</v>
      </c>
      <c r="H7">
        <v>134</v>
      </c>
      <c r="I7" t="s">
        <v>18</v>
      </c>
      <c r="J7">
        <v>5.84</v>
      </c>
      <c r="K7" t="s">
        <v>19</v>
      </c>
      <c r="L7" t="s">
        <v>43</v>
      </c>
    </row>
    <row r="8" spans="1:12" x14ac:dyDescent="0.25">
      <c r="A8" s="1">
        <v>45721</v>
      </c>
      <c r="B8" t="s">
        <v>44</v>
      </c>
      <c r="C8" t="s">
        <v>45</v>
      </c>
      <c r="D8" t="s">
        <v>46</v>
      </c>
      <c r="E8" t="s">
        <v>24</v>
      </c>
      <c r="F8" t="s">
        <v>42</v>
      </c>
      <c r="G8" t="s">
        <v>17</v>
      </c>
      <c r="H8">
        <v>38</v>
      </c>
      <c r="I8" t="s">
        <v>27</v>
      </c>
      <c r="J8">
        <v>5.03</v>
      </c>
      <c r="K8" t="s">
        <v>34</v>
      </c>
      <c r="L8" t="s">
        <v>47</v>
      </c>
    </row>
    <row r="9" spans="1:12" x14ac:dyDescent="0.25">
      <c r="A9" s="1">
        <v>45736</v>
      </c>
      <c r="B9" t="s">
        <v>48</v>
      </c>
      <c r="C9" t="s">
        <v>30</v>
      </c>
      <c r="D9" t="s">
        <v>14</v>
      </c>
      <c r="E9" t="s">
        <v>49</v>
      </c>
      <c r="F9" t="s">
        <v>31</v>
      </c>
      <c r="G9" t="s">
        <v>26</v>
      </c>
      <c r="H9">
        <v>6</v>
      </c>
      <c r="I9" t="s">
        <v>50</v>
      </c>
      <c r="J9">
        <v>5.09</v>
      </c>
      <c r="K9" t="s">
        <v>34</v>
      </c>
      <c r="L9" t="s">
        <v>51</v>
      </c>
    </row>
    <row r="10" spans="1:12" x14ac:dyDescent="0.25">
      <c r="A10" s="1">
        <v>45721</v>
      </c>
      <c r="B10" t="s">
        <v>52</v>
      </c>
      <c r="C10" t="s">
        <v>53</v>
      </c>
      <c r="D10" t="s">
        <v>37</v>
      </c>
      <c r="E10" t="s">
        <v>54</v>
      </c>
      <c r="F10" t="s">
        <v>55</v>
      </c>
      <c r="G10" t="s">
        <v>17</v>
      </c>
      <c r="H10">
        <v>71</v>
      </c>
      <c r="I10" t="s">
        <v>27</v>
      </c>
      <c r="J10">
        <v>1.41</v>
      </c>
      <c r="K10" t="s">
        <v>19</v>
      </c>
      <c r="L10" t="s">
        <v>51</v>
      </c>
    </row>
    <row r="11" spans="1:12" x14ac:dyDescent="0.25">
      <c r="A11" s="1">
        <v>45669</v>
      </c>
      <c r="B11" t="s">
        <v>56</v>
      </c>
      <c r="C11" t="s">
        <v>57</v>
      </c>
      <c r="D11" t="s">
        <v>37</v>
      </c>
      <c r="E11" t="s">
        <v>54</v>
      </c>
      <c r="F11" t="s">
        <v>55</v>
      </c>
      <c r="G11" t="s">
        <v>17</v>
      </c>
      <c r="H11">
        <v>100</v>
      </c>
      <c r="I11" t="s">
        <v>18</v>
      </c>
      <c r="J11">
        <v>3.63</v>
      </c>
      <c r="K11" t="s">
        <v>34</v>
      </c>
      <c r="L11" t="s">
        <v>58</v>
      </c>
    </row>
    <row r="12" spans="1:12" x14ac:dyDescent="0.25">
      <c r="A12" s="1">
        <v>45707</v>
      </c>
      <c r="B12" t="s">
        <v>59</v>
      </c>
      <c r="C12" t="s">
        <v>57</v>
      </c>
      <c r="D12" t="s">
        <v>37</v>
      </c>
      <c r="E12" t="s">
        <v>15</v>
      </c>
      <c r="F12" t="s">
        <v>16</v>
      </c>
      <c r="G12" t="s">
        <v>17</v>
      </c>
      <c r="H12">
        <v>163</v>
      </c>
      <c r="I12" t="s">
        <v>18</v>
      </c>
      <c r="J12">
        <v>1.44</v>
      </c>
      <c r="K12" t="s">
        <v>32</v>
      </c>
      <c r="L12" t="s">
        <v>60</v>
      </c>
    </row>
    <row r="13" spans="1:12" x14ac:dyDescent="0.25">
      <c r="A13" s="1">
        <v>45711</v>
      </c>
      <c r="B13" t="s">
        <v>61</v>
      </c>
      <c r="C13" t="s">
        <v>62</v>
      </c>
      <c r="D13" t="s">
        <v>37</v>
      </c>
      <c r="E13" t="s">
        <v>49</v>
      </c>
      <c r="F13" t="s">
        <v>16</v>
      </c>
      <c r="G13" t="s">
        <v>17</v>
      </c>
      <c r="H13">
        <v>64</v>
      </c>
      <c r="I13" t="s">
        <v>27</v>
      </c>
      <c r="J13">
        <v>2.69</v>
      </c>
      <c r="K13" t="s">
        <v>19</v>
      </c>
      <c r="L13" t="s">
        <v>60</v>
      </c>
    </row>
    <row r="14" spans="1:12" x14ac:dyDescent="0.25">
      <c r="A14" s="1">
        <v>45686</v>
      </c>
      <c r="B14" t="s">
        <v>63</v>
      </c>
      <c r="C14" t="s">
        <v>45</v>
      </c>
      <c r="D14" t="s">
        <v>46</v>
      </c>
      <c r="E14" t="s">
        <v>54</v>
      </c>
      <c r="F14" t="s">
        <v>31</v>
      </c>
      <c r="G14" t="s">
        <v>26</v>
      </c>
      <c r="H14">
        <v>21</v>
      </c>
      <c r="I14" t="s">
        <v>50</v>
      </c>
      <c r="J14">
        <v>3.54</v>
      </c>
      <c r="K14" t="s">
        <v>32</v>
      </c>
      <c r="L14" t="s">
        <v>28</v>
      </c>
    </row>
    <row r="15" spans="1:12" x14ac:dyDescent="0.25">
      <c r="A15" s="1">
        <v>45708</v>
      </c>
      <c r="B15" t="s">
        <v>64</v>
      </c>
      <c r="C15" t="s">
        <v>36</v>
      </c>
      <c r="D15" t="s">
        <v>37</v>
      </c>
      <c r="E15" t="s">
        <v>24</v>
      </c>
      <c r="F15" t="s">
        <v>31</v>
      </c>
      <c r="G15" t="s">
        <v>26</v>
      </c>
      <c r="H15">
        <v>114</v>
      </c>
      <c r="I15" t="s">
        <v>18</v>
      </c>
      <c r="J15">
        <v>4.55</v>
      </c>
      <c r="K15" t="s">
        <v>19</v>
      </c>
      <c r="L15" t="s">
        <v>65</v>
      </c>
    </row>
    <row r="16" spans="1:12" x14ac:dyDescent="0.25">
      <c r="A16" s="1">
        <v>45708</v>
      </c>
      <c r="B16" t="s">
        <v>66</v>
      </c>
      <c r="C16" t="s">
        <v>45</v>
      </c>
      <c r="D16" t="s">
        <v>46</v>
      </c>
      <c r="E16" t="s">
        <v>38</v>
      </c>
      <c r="F16" t="s">
        <v>67</v>
      </c>
      <c r="G16" t="s">
        <v>17</v>
      </c>
      <c r="H16">
        <v>179</v>
      </c>
      <c r="I16" t="s">
        <v>18</v>
      </c>
      <c r="J16">
        <v>5.68</v>
      </c>
      <c r="K16" t="s">
        <v>32</v>
      </c>
      <c r="L16" t="s">
        <v>43</v>
      </c>
    </row>
    <row r="17" spans="1:12" x14ac:dyDescent="0.25">
      <c r="A17" s="1">
        <v>45721</v>
      </c>
      <c r="B17" t="s">
        <v>68</v>
      </c>
      <c r="C17" t="s">
        <v>53</v>
      </c>
      <c r="D17" t="s">
        <v>37</v>
      </c>
      <c r="E17" t="s">
        <v>69</v>
      </c>
      <c r="F17" t="s">
        <v>42</v>
      </c>
      <c r="G17" t="s">
        <v>17</v>
      </c>
      <c r="H17">
        <v>64</v>
      </c>
      <c r="I17" t="s">
        <v>27</v>
      </c>
      <c r="J17">
        <v>4.0199999999999996</v>
      </c>
      <c r="K17" t="s">
        <v>34</v>
      </c>
      <c r="L17" t="s">
        <v>70</v>
      </c>
    </row>
    <row r="18" spans="1:12" x14ac:dyDescent="0.25">
      <c r="A18" s="1">
        <v>45664</v>
      </c>
      <c r="B18" t="s">
        <v>71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38</v>
      </c>
      <c r="I18" t="s">
        <v>27</v>
      </c>
      <c r="J18">
        <v>2.35</v>
      </c>
      <c r="K18" t="s">
        <v>34</v>
      </c>
      <c r="L18" t="s">
        <v>20</v>
      </c>
    </row>
    <row r="19" spans="1:12" x14ac:dyDescent="0.25">
      <c r="A19" s="1">
        <v>45703</v>
      </c>
      <c r="B19" t="s">
        <v>72</v>
      </c>
      <c r="C19" t="s">
        <v>36</v>
      </c>
      <c r="D19" t="s">
        <v>37</v>
      </c>
      <c r="E19" t="s">
        <v>69</v>
      </c>
      <c r="F19" t="s">
        <v>16</v>
      </c>
      <c r="G19" t="s">
        <v>17</v>
      </c>
      <c r="H19">
        <v>145</v>
      </c>
      <c r="I19" t="s">
        <v>18</v>
      </c>
      <c r="J19">
        <v>3.69</v>
      </c>
      <c r="K19" t="s">
        <v>34</v>
      </c>
      <c r="L19" t="s">
        <v>60</v>
      </c>
    </row>
    <row r="20" spans="1:12" x14ac:dyDescent="0.25">
      <c r="A20" s="1">
        <v>45671</v>
      </c>
      <c r="B20" t="s">
        <v>73</v>
      </c>
      <c r="C20" t="s">
        <v>22</v>
      </c>
      <c r="D20" t="s">
        <v>23</v>
      </c>
      <c r="E20" t="s">
        <v>24</v>
      </c>
      <c r="F20" t="s">
        <v>42</v>
      </c>
      <c r="G20" t="s">
        <v>17</v>
      </c>
      <c r="H20">
        <v>136</v>
      </c>
      <c r="I20" t="s">
        <v>18</v>
      </c>
      <c r="J20">
        <v>5.07</v>
      </c>
      <c r="K20" t="s">
        <v>34</v>
      </c>
      <c r="L20" t="s">
        <v>43</v>
      </c>
    </row>
    <row r="21" spans="1:12" x14ac:dyDescent="0.25">
      <c r="A21" s="1">
        <v>45728</v>
      </c>
      <c r="B21" t="s">
        <v>74</v>
      </c>
      <c r="C21" t="s">
        <v>41</v>
      </c>
      <c r="D21" t="s">
        <v>37</v>
      </c>
      <c r="E21" t="s">
        <v>49</v>
      </c>
      <c r="F21" t="s">
        <v>16</v>
      </c>
      <c r="G21" t="s">
        <v>17</v>
      </c>
      <c r="H21">
        <v>119</v>
      </c>
      <c r="I21" t="s">
        <v>18</v>
      </c>
      <c r="J21">
        <v>3.44</v>
      </c>
      <c r="K21" t="s">
        <v>32</v>
      </c>
      <c r="L21" t="s">
        <v>51</v>
      </c>
    </row>
    <row r="22" spans="1:12" x14ac:dyDescent="0.25">
      <c r="A22" s="1">
        <v>45665</v>
      </c>
      <c r="B22" t="s">
        <v>75</v>
      </c>
      <c r="C22" t="s">
        <v>45</v>
      </c>
      <c r="D22" t="s">
        <v>46</v>
      </c>
      <c r="E22" t="s">
        <v>49</v>
      </c>
      <c r="F22" t="s">
        <v>67</v>
      </c>
      <c r="G22" t="s">
        <v>17</v>
      </c>
      <c r="H22">
        <v>34</v>
      </c>
      <c r="I22" t="s">
        <v>27</v>
      </c>
      <c r="J22">
        <v>6.14</v>
      </c>
      <c r="K22" t="s">
        <v>19</v>
      </c>
      <c r="L22" t="s">
        <v>28</v>
      </c>
    </row>
    <row r="23" spans="1:12" x14ac:dyDescent="0.25">
      <c r="A23" s="1">
        <v>45666</v>
      </c>
      <c r="B23" t="s">
        <v>76</v>
      </c>
      <c r="C23" t="s">
        <v>53</v>
      </c>
      <c r="D23" t="s">
        <v>37</v>
      </c>
      <c r="E23" t="s">
        <v>24</v>
      </c>
      <c r="F23" t="s">
        <v>25</v>
      </c>
      <c r="G23" t="s">
        <v>26</v>
      </c>
      <c r="H23">
        <v>28</v>
      </c>
      <c r="I23" t="s">
        <v>50</v>
      </c>
      <c r="J23">
        <v>3.17</v>
      </c>
      <c r="K23" t="s">
        <v>32</v>
      </c>
      <c r="L23" t="s">
        <v>20</v>
      </c>
    </row>
    <row r="24" spans="1:12" x14ac:dyDescent="0.25">
      <c r="A24" s="1">
        <v>45739</v>
      </c>
      <c r="B24" t="s">
        <v>77</v>
      </c>
      <c r="C24" t="s">
        <v>57</v>
      </c>
      <c r="D24" t="s">
        <v>37</v>
      </c>
      <c r="E24" t="s">
        <v>54</v>
      </c>
      <c r="F24" t="s">
        <v>55</v>
      </c>
      <c r="G24" t="s">
        <v>17</v>
      </c>
      <c r="H24">
        <v>31</v>
      </c>
      <c r="I24" t="s">
        <v>27</v>
      </c>
      <c r="J24">
        <v>3.32</v>
      </c>
      <c r="K24" t="s">
        <v>34</v>
      </c>
      <c r="L24" t="s">
        <v>47</v>
      </c>
    </row>
    <row r="25" spans="1:12" x14ac:dyDescent="0.25">
      <c r="A25" s="1">
        <v>45747</v>
      </c>
      <c r="B25" t="s">
        <v>78</v>
      </c>
      <c r="C25" t="s">
        <v>13</v>
      </c>
      <c r="D25" t="s">
        <v>14</v>
      </c>
      <c r="E25" t="s">
        <v>38</v>
      </c>
      <c r="F25" t="s">
        <v>31</v>
      </c>
      <c r="G25" t="s">
        <v>26</v>
      </c>
      <c r="H25">
        <v>36</v>
      </c>
      <c r="I25" t="s">
        <v>27</v>
      </c>
      <c r="J25">
        <v>3.56</v>
      </c>
      <c r="K25" t="s">
        <v>19</v>
      </c>
      <c r="L25" t="s">
        <v>79</v>
      </c>
    </row>
    <row r="26" spans="1:12" x14ac:dyDescent="0.25">
      <c r="A26" s="1">
        <v>45665</v>
      </c>
      <c r="B26" t="s">
        <v>80</v>
      </c>
      <c r="C26" t="s">
        <v>53</v>
      </c>
      <c r="D26" t="s">
        <v>37</v>
      </c>
      <c r="E26" t="s">
        <v>15</v>
      </c>
      <c r="F26" t="s">
        <v>25</v>
      </c>
      <c r="G26" t="s">
        <v>26</v>
      </c>
      <c r="H26">
        <v>120</v>
      </c>
      <c r="I26" t="s">
        <v>18</v>
      </c>
      <c r="J26">
        <v>2.0699999999999998</v>
      </c>
      <c r="K26" t="s">
        <v>19</v>
      </c>
      <c r="L26" t="s">
        <v>20</v>
      </c>
    </row>
    <row r="27" spans="1:12" x14ac:dyDescent="0.25">
      <c r="A27" s="1">
        <v>45699</v>
      </c>
      <c r="B27" t="s">
        <v>81</v>
      </c>
      <c r="C27" t="s">
        <v>53</v>
      </c>
      <c r="D27" t="s">
        <v>37</v>
      </c>
      <c r="E27" t="s">
        <v>54</v>
      </c>
      <c r="F27" t="s">
        <v>42</v>
      </c>
      <c r="G27" t="s">
        <v>17</v>
      </c>
      <c r="H27">
        <v>36</v>
      </c>
      <c r="I27" t="s">
        <v>27</v>
      </c>
      <c r="J27">
        <v>2.93</v>
      </c>
      <c r="K27" t="s">
        <v>19</v>
      </c>
      <c r="L27" t="s">
        <v>82</v>
      </c>
    </row>
    <row r="28" spans="1:12" x14ac:dyDescent="0.25">
      <c r="A28" s="1">
        <v>45705</v>
      </c>
      <c r="B28" t="s">
        <v>83</v>
      </c>
      <c r="C28" t="s">
        <v>53</v>
      </c>
      <c r="D28" t="s">
        <v>37</v>
      </c>
      <c r="E28" t="s">
        <v>54</v>
      </c>
      <c r="F28" t="s">
        <v>42</v>
      </c>
      <c r="G28" t="s">
        <v>17</v>
      </c>
      <c r="H28">
        <v>29</v>
      </c>
      <c r="I28" t="s">
        <v>50</v>
      </c>
      <c r="J28">
        <v>4.41</v>
      </c>
      <c r="K28" t="s">
        <v>32</v>
      </c>
      <c r="L28" t="s">
        <v>43</v>
      </c>
    </row>
    <row r="29" spans="1:12" x14ac:dyDescent="0.25">
      <c r="A29" s="1">
        <v>45669</v>
      </c>
      <c r="B29" t="s">
        <v>84</v>
      </c>
      <c r="C29" t="s">
        <v>53</v>
      </c>
      <c r="D29" t="s">
        <v>37</v>
      </c>
      <c r="E29" t="s">
        <v>24</v>
      </c>
      <c r="F29" t="s">
        <v>16</v>
      </c>
      <c r="G29" t="s">
        <v>17</v>
      </c>
      <c r="H29">
        <v>134</v>
      </c>
      <c r="I29" t="s">
        <v>18</v>
      </c>
      <c r="J29">
        <v>1.36</v>
      </c>
      <c r="K29" t="s">
        <v>19</v>
      </c>
      <c r="L29" t="s">
        <v>82</v>
      </c>
    </row>
    <row r="30" spans="1:12" x14ac:dyDescent="0.25">
      <c r="A30" s="1">
        <v>45669</v>
      </c>
      <c r="B30" t="s">
        <v>85</v>
      </c>
      <c r="C30" t="s">
        <v>30</v>
      </c>
      <c r="D30" t="s">
        <v>14</v>
      </c>
      <c r="E30" t="s">
        <v>49</v>
      </c>
      <c r="F30" t="s">
        <v>31</v>
      </c>
      <c r="G30" t="s">
        <v>26</v>
      </c>
      <c r="H30">
        <v>60</v>
      </c>
      <c r="I30" t="s">
        <v>27</v>
      </c>
      <c r="J30">
        <v>4.9400000000000004</v>
      </c>
      <c r="K30" t="s">
        <v>32</v>
      </c>
      <c r="L30" t="s">
        <v>39</v>
      </c>
    </row>
    <row r="31" spans="1:12" x14ac:dyDescent="0.25">
      <c r="A31" s="1">
        <v>45701</v>
      </c>
      <c r="B31" t="s">
        <v>86</v>
      </c>
      <c r="C31" t="s">
        <v>13</v>
      </c>
      <c r="D31" t="s">
        <v>14</v>
      </c>
      <c r="E31" t="s">
        <v>24</v>
      </c>
      <c r="F31" t="s">
        <v>31</v>
      </c>
      <c r="G31" t="s">
        <v>26</v>
      </c>
      <c r="H31">
        <v>88</v>
      </c>
      <c r="I31" t="s">
        <v>18</v>
      </c>
      <c r="J31">
        <v>5.29</v>
      </c>
      <c r="K31" t="s">
        <v>19</v>
      </c>
      <c r="L31" t="s">
        <v>28</v>
      </c>
    </row>
    <row r="32" spans="1:12" x14ac:dyDescent="0.25">
      <c r="A32" s="1">
        <v>45741</v>
      </c>
      <c r="B32" t="s">
        <v>87</v>
      </c>
      <c r="C32" t="s">
        <v>36</v>
      </c>
      <c r="D32" t="s">
        <v>37</v>
      </c>
      <c r="E32" t="s">
        <v>69</v>
      </c>
      <c r="F32" t="s">
        <v>42</v>
      </c>
      <c r="G32" t="s">
        <v>17</v>
      </c>
      <c r="H32">
        <v>9</v>
      </c>
      <c r="I32" t="s">
        <v>50</v>
      </c>
      <c r="J32">
        <v>1.28</v>
      </c>
      <c r="K32" t="s">
        <v>32</v>
      </c>
      <c r="L32" t="s">
        <v>60</v>
      </c>
    </row>
    <row r="33" spans="1:12" x14ac:dyDescent="0.25">
      <c r="A33" s="1">
        <v>45660</v>
      </c>
      <c r="B33" t="s">
        <v>88</v>
      </c>
      <c r="C33" t="s">
        <v>22</v>
      </c>
      <c r="D33" t="s">
        <v>23</v>
      </c>
      <c r="E33" t="s">
        <v>24</v>
      </c>
      <c r="F33" t="s">
        <v>31</v>
      </c>
      <c r="G33" t="s">
        <v>26</v>
      </c>
      <c r="H33">
        <v>148</v>
      </c>
      <c r="I33" t="s">
        <v>18</v>
      </c>
      <c r="J33">
        <v>4.37</v>
      </c>
      <c r="K33" t="s">
        <v>32</v>
      </c>
      <c r="L33" t="s">
        <v>58</v>
      </c>
    </row>
    <row r="34" spans="1:12" x14ac:dyDescent="0.25">
      <c r="A34" s="1">
        <v>45720</v>
      </c>
      <c r="B34" t="s">
        <v>89</v>
      </c>
      <c r="C34" t="s">
        <v>41</v>
      </c>
      <c r="D34" t="s">
        <v>37</v>
      </c>
      <c r="E34" t="s">
        <v>38</v>
      </c>
      <c r="F34" t="s">
        <v>25</v>
      </c>
      <c r="G34" t="s">
        <v>26</v>
      </c>
      <c r="H34">
        <v>128</v>
      </c>
      <c r="I34" t="s">
        <v>18</v>
      </c>
      <c r="J34">
        <v>5.17</v>
      </c>
      <c r="K34" t="s">
        <v>32</v>
      </c>
      <c r="L34" t="s">
        <v>60</v>
      </c>
    </row>
    <row r="35" spans="1:12" x14ac:dyDescent="0.25">
      <c r="A35" s="1">
        <v>45726</v>
      </c>
      <c r="B35" t="s">
        <v>90</v>
      </c>
      <c r="C35" t="s">
        <v>30</v>
      </c>
      <c r="D35" t="s">
        <v>14</v>
      </c>
      <c r="E35" t="s">
        <v>38</v>
      </c>
      <c r="F35" t="s">
        <v>67</v>
      </c>
      <c r="G35" t="s">
        <v>17</v>
      </c>
      <c r="H35">
        <v>98</v>
      </c>
      <c r="I35" t="s">
        <v>18</v>
      </c>
      <c r="J35">
        <v>4.3600000000000003</v>
      </c>
      <c r="K35" t="s">
        <v>34</v>
      </c>
      <c r="L35" t="s">
        <v>82</v>
      </c>
    </row>
    <row r="36" spans="1:12" x14ac:dyDescent="0.25">
      <c r="A36" s="1">
        <v>45742</v>
      </c>
      <c r="B36" t="s">
        <v>91</v>
      </c>
      <c r="C36" t="s">
        <v>45</v>
      </c>
      <c r="D36" t="s">
        <v>46</v>
      </c>
      <c r="E36" t="s">
        <v>24</v>
      </c>
      <c r="F36" t="s">
        <v>55</v>
      </c>
      <c r="G36" t="s">
        <v>17</v>
      </c>
      <c r="H36">
        <v>51</v>
      </c>
      <c r="I36" t="s">
        <v>27</v>
      </c>
      <c r="J36">
        <v>4.3899999999999997</v>
      </c>
      <c r="K36" t="s">
        <v>34</v>
      </c>
      <c r="L36" t="s">
        <v>43</v>
      </c>
    </row>
    <row r="37" spans="1:12" x14ac:dyDescent="0.25">
      <c r="A37" s="1">
        <v>45672</v>
      </c>
      <c r="B37" t="s">
        <v>92</v>
      </c>
      <c r="C37" t="s">
        <v>62</v>
      </c>
      <c r="D37" t="s">
        <v>37</v>
      </c>
      <c r="E37" t="s">
        <v>24</v>
      </c>
      <c r="F37" t="s">
        <v>16</v>
      </c>
      <c r="G37" t="s">
        <v>17</v>
      </c>
      <c r="H37">
        <v>70</v>
      </c>
      <c r="I37" t="s">
        <v>27</v>
      </c>
      <c r="J37">
        <v>1.07</v>
      </c>
      <c r="K37" t="s">
        <v>19</v>
      </c>
      <c r="L37" t="s">
        <v>20</v>
      </c>
    </row>
    <row r="38" spans="1:12" x14ac:dyDescent="0.25">
      <c r="A38" s="1">
        <v>45665</v>
      </c>
      <c r="B38" t="s">
        <v>93</v>
      </c>
      <c r="C38" t="s">
        <v>13</v>
      </c>
      <c r="D38" t="s">
        <v>14</v>
      </c>
      <c r="E38" t="s">
        <v>49</v>
      </c>
      <c r="F38" t="s">
        <v>55</v>
      </c>
      <c r="G38" t="s">
        <v>17</v>
      </c>
      <c r="H38">
        <v>65</v>
      </c>
      <c r="I38" t="s">
        <v>27</v>
      </c>
      <c r="J38">
        <v>5.28</v>
      </c>
      <c r="K38" t="s">
        <v>19</v>
      </c>
      <c r="L38" t="s">
        <v>79</v>
      </c>
    </row>
    <row r="39" spans="1:12" x14ac:dyDescent="0.25">
      <c r="A39" s="1">
        <v>45726</v>
      </c>
      <c r="B39" t="s">
        <v>94</v>
      </c>
      <c r="C39" t="s">
        <v>22</v>
      </c>
      <c r="D39" t="s">
        <v>23</v>
      </c>
      <c r="E39" t="s">
        <v>24</v>
      </c>
      <c r="F39" t="s">
        <v>67</v>
      </c>
      <c r="G39" t="s">
        <v>17</v>
      </c>
      <c r="H39">
        <v>11</v>
      </c>
      <c r="I39" t="s">
        <v>50</v>
      </c>
      <c r="J39">
        <v>2.48</v>
      </c>
      <c r="K39" t="s">
        <v>34</v>
      </c>
      <c r="L39" t="s">
        <v>95</v>
      </c>
    </row>
    <row r="40" spans="1:12" x14ac:dyDescent="0.25">
      <c r="A40" s="1">
        <v>45720</v>
      </c>
      <c r="B40" t="s">
        <v>96</v>
      </c>
      <c r="C40" t="s">
        <v>62</v>
      </c>
      <c r="D40" t="s">
        <v>37</v>
      </c>
      <c r="E40" t="s">
        <v>54</v>
      </c>
      <c r="F40" t="s">
        <v>42</v>
      </c>
      <c r="G40" t="s">
        <v>17</v>
      </c>
      <c r="H40">
        <v>11</v>
      </c>
      <c r="I40" t="s">
        <v>50</v>
      </c>
      <c r="J40">
        <v>5.07</v>
      </c>
      <c r="K40" t="s">
        <v>32</v>
      </c>
      <c r="L40" t="s">
        <v>79</v>
      </c>
    </row>
    <row r="41" spans="1:12" x14ac:dyDescent="0.25">
      <c r="A41" s="1">
        <v>45743</v>
      </c>
      <c r="B41" t="s">
        <v>97</v>
      </c>
      <c r="C41" t="s">
        <v>98</v>
      </c>
      <c r="D41" t="s">
        <v>37</v>
      </c>
      <c r="E41" t="s">
        <v>15</v>
      </c>
      <c r="F41" t="s">
        <v>31</v>
      </c>
      <c r="G41" t="s">
        <v>26</v>
      </c>
      <c r="H41">
        <v>99</v>
      </c>
      <c r="I41" t="s">
        <v>18</v>
      </c>
      <c r="J41">
        <v>2.58</v>
      </c>
      <c r="K41" t="s">
        <v>32</v>
      </c>
      <c r="L41" t="s">
        <v>65</v>
      </c>
    </row>
    <row r="42" spans="1:12" x14ac:dyDescent="0.25">
      <c r="A42" s="1">
        <v>45698</v>
      </c>
      <c r="B42" t="s">
        <v>99</v>
      </c>
      <c r="C42" t="s">
        <v>98</v>
      </c>
      <c r="D42" t="s">
        <v>37</v>
      </c>
      <c r="E42" t="s">
        <v>69</v>
      </c>
      <c r="F42" t="s">
        <v>31</v>
      </c>
      <c r="G42" t="s">
        <v>26</v>
      </c>
      <c r="H42">
        <v>135</v>
      </c>
      <c r="I42" t="s">
        <v>18</v>
      </c>
      <c r="J42">
        <v>6.15</v>
      </c>
      <c r="K42" t="s">
        <v>32</v>
      </c>
      <c r="L42" t="s">
        <v>82</v>
      </c>
    </row>
    <row r="43" spans="1:12" x14ac:dyDescent="0.25">
      <c r="A43" s="1">
        <v>45735</v>
      </c>
      <c r="B43" t="s">
        <v>100</v>
      </c>
      <c r="C43" t="s">
        <v>13</v>
      </c>
      <c r="D43" t="s">
        <v>14</v>
      </c>
      <c r="E43" t="s">
        <v>54</v>
      </c>
      <c r="F43" t="s">
        <v>55</v>
      </c>
      <c r="G43" t="s">
        <v>17</v>
      </c>
      <c r="H43">
        <v>112</v>
      </c>
      <c r="I43" t="s">
        <v>18</v>
      </c>
      <c r="J43">
        <v>5.88</v>
      </c>
      <c r="K43" t="s">
        <v>32</v>
      </c>
      <c r="L43" t="s">
        <v>39</v>
      </c>
    </row>
    <row r="44" spans="1:12" x14ac:dyDescent="0.25">
      <c r="A44" s="1">
        <v>45664</v>
      </c>
      <c r="B44" t="s">
        <v>101</v>
      </c>
      <c r="C44" t="s">
        <v>45</v>
      </c>
      <c r="D44" t="s">
        <v>46</v>
      </c>
      <c r="E44" t="s">
        <v>38</v>
      </c>
      <c r="F44" t="s">
        <v>55</v>
      </c>
      <c r="G44" t="s">
        <v>17</v>
      </c>
      <c r="H44">
        <v>148</v>
      </c>
      <c r="I44" t="s">
        <v>18</v>
      </c>
      <c r="J44">
        <v>2.68</v>
      </c>
      <c r="K44" t="s">
        <v>34</v>
      </c>
      <c r="L44" t="s">
        <v>51</v>
      </c>
    </row>
    <row r="45" spans="1:12" x14ac:dyDescent="0.25">
      <c r="A45" s="1">
        <v>45744</v>
      </c>
      <c r="B45" t="s">
        <v>102</v>
      </c>
      <c r="C45" t="s">
        <v>41</v>
      </c>
      <c r="D45" t="s">
        <v>37</v>
      </c>
      <c r="E45" t="s">
        <v>38</v>
      </c>
      <c r="F45" t="s">
        <v>42</v>
      </c>
      <c r="G45" t="s">
        <v>17</v>
      </c>
      <c r="H45">
        <v>133</v>
      </c>
      <c r="I45" t="s">
        <v>18</v>
      </c>
      <c r="J45">
        <v>1.29</v>
      </c>
      <c r="K45" t="s">
        <v>34</v>
      </c>
      <c r="L45" t="s">
        <v>43</v>
      </c>
    </row>
    <row r="46" spans="1:12" x14ac:dyDescent="0.25">
      <c r="A46" s="1">
        <v>45730</v>
      </c>
      <c r="B46" t="s">
        <v>103</v>
      </c>
      <c r="C46" t="s">
        <v>45</v>
      </c>
      <c r="D46" t="s">
        <v>46</v>
      </c>
      <c r="E46" t="s">
        <v>24</v>
      </c>
      <c r="F46" t="s">
        <v>42</v>
      </c>
      <c r="G46" t="s">
        <v>17</v>
      </c>
      <c r="H46">
        <v>97</v>
      </c>
      <c r="I46" t="s">
        <v>18</v>
      </c>
      <c r="J46">
        <v>4.34</v>
      </c>
      <c r="K46" t="s">
        <v>19</v>
      </c>
      <c r="L46" t="s">
        <v>70</v>
      </c>
    </row>
    <row r="47" spans="1:12" x14ac:dyDescent="0.25">
      <c r="A47" s="1">
        <v>45701</v>
      </c>
      <c r="B47" t="s">
        <v>104</v>
      </c>
      <c r="C47" t="s">
        <v>62</v>
      </c>
      <c r="D47" t="s">
        <v>37</v>
      </c>
      <c r="E47" t="s">
        <v>49</v>
      </c>
      <c r="F47" t="s">
        <v>31</v>
      </c>
      <c r="G47" t="s">
        <v>26</v>
      </c>
      <c r="H47">
        <v>7</v>
      </c>
      <c r="I47" t="s">
        <v>50</v>
      </c>
      <c r="J47">
        <v>1.38</v>
      </c>
      <c r="K47" t="s">
        <v>19</v>
      </c>
      <c r="L47" t="s">
        <v>47</v>
      </c>
    </row>
    <row r="48" spans="1:12" x14ac:dyDescent="0.25">
      <c r="A48" s="1">
        <v>45743</v>
      </c>
      <c r="B48" t="s">
        <v>105</v>
      </c>
      <c r="C48" t="s">
        <v>22</v>
      </c>
      <c r="D48" t="s">
        <v>23</v>
      </c>
      <c r="E48" t="s">
        <v>24</v>
      </c>
      <c r="F48" t="s">
        <v>16</v>
      </c>
      <c r="G48" t="s">
        <v>17</v>
      </c>
      <c r="H48">
        <v>101</v>
      </c>
      <c r="I48" t="s">
        <v>18</v>
      </c>
      <c r="J48">
        <v>1.49</v>
      </c>
      <c r="K48" t="s">
        <v>32</v>
      </c>
      <c r="L48" t="s">
        <v>82</v>
      </c>
    </row>
    <row r="49" spans="1:12" x14ac:dyDescent="0.25">
      <c r="A49" s="1">
        <v>45676</v>
      </c>
      <c r="B49" t="s">
        <v>106</v>
      </c>
      <c r="C49" t="s">
        <v>45</v>
      </c>
      <c r="D49" t="s">
        <v>46</v>
      </c>
      <c r="E49" t="s">
        <v>38</v>
      </c>
      <c r="F49" t="s">
        <v>16</v>
      </c>
      <c r="G49" t="s">
        <v>17</v>
      </c>
      <c r="H49">
        <v>168</v>
      </c>
      <c r="I49" t="s">
        <v>18</v>
      </c>
      <c r="J49">
        <v>3.26</v>
      </c>
      <c r="K49" t="s">
        <v>34</v>
      </c>
      <c r="L49" t="s">
        <v>60</v>
      </c>
    </row>
    <row r="50" spans="1:12" x14ac:dyDescent="0.25">
      <c r="A50" s="1">
        <v>45738</v>
      </c>
      <c r="B50" t="s">
        <v>107</v>
      </c>
      <c r="C50" t="s">
        <v>36</v>
      </c>
      <c r="D50" t="s">
        <v>37</v>
      </c>
      <c r="E50" t="s">
        <v>24</v>
      </c>
      <c r="F50" t="s">
        <v>16</v>
      </c>
      <c r="G50" t="s">
        <v>17</v>
      </c>
      <c r="H50">
        <v>43</v>
      </c>
      <c r="I50" t="s">
        <v>27</v>
      </c>
      <c r="J50">
        <v>6.02</v>
      </c>
      <c r="K50" t="s">
        <v>19</v>
      </c>
      <c r="L50" t="s">
        <v>60</v>
      </c>
    </row>
    <row r="51" spans="1:12" x14ac:dyDescent="0.25">
      <c r="A51" s="1">
        <v>45726</v>
      </c>
      <c r="B51" t="s">
        <v>108</v>
      </c>
      <c r="C51" t="s">
        <v>36</v>
      </c>
      <c r="D51" t="s">
        <v>37</v>
      </c>
      <c r="E51" t="s">
        <v>49</v>
      </c>
      <c r="F51" t="s">
        <v>67</v>
      </c>
      <c r="G51" t="s">
        <v>17</v>
      </c>
      <c r="H51">
        <v>154</v>
      </c>
      <c r="I51" t="s">
        <v>18</v>
      </c>
      <c r="J51">
        <v>1.04</v>
      </c>
      <c r="K51" t="s">
        <v>19</v>
      </c>
      <c r="L51" t="s">
        <v>60</v>
      </c>
    </row>
    <row r="52" spans="1:12" x14ac:dyDescent="0.25">
      <c r="A52" s="1">
        <v>45739</v>
      </c>
      <c r="B52" t="s">
        <v>109</v>
      </c>
      <c r="C52" t="s">
        <v>13</v>
      </c>
      <c r="D52" t="s">
        <v>14</v>
      </c>
      <c r="E52" t="s">
        <v>49</v>
      </c>
      <c r="F52" t="s">
        <v>25</v>
      </c>
      <c r="G52" t="s">
        <v>26</v>
      </c>
      <c r="H52">
        <v>154</v>
      </c>
      <c r="I52" t="s">
        <v>18</v>
      </c>
      <c r="J52">
        <v>1.01</v>
      </c>
      <c r="K52" t="s">
        <v>32</v>
      </c>
      <c r="L52" t="s">
        <v>79</v>
      </c>
    </row>
    <row r="53" spans="1:12" x14ac:dyDescent="0.25">
      <c r="A53" s="1">
        <v>45699</v>
      </c>
      <c r="B53" t="s">
        <v>110</v>
      </c>
      <c r="C53" t="s">
        <v>53</v>
      </c>
      <c r="D53" t="s">
        <v>37</v>
      </c>
      <c r="E53" t="s">
        <v>38</v>
      </c>
      <c r="F53" t="s">
        <v>31</v>
      </c>
      <c r="G53" t="s">
        <v>26</v>
      </c>
      <c r="H53">
        <v>56</v>
      </c>
      <c r="I53" t="s">
        <v>27</v>
      </c>
      <c r="J53">
        <v>3.51</v>
      </c>
      <c r="K53" t="s">
        <v>34</v>
      </c>
      <c r="L53" t="s">
        <v>39</v>
      </c>
    </row>
    <row r="54" spans="1:12" x14ac:dyDescent="0.25">
      <c r="A54" s="1">
        <v>45721</v>
      </c>
      <c r="B54" t="s">
        <v>111</v>
      </c>
      <c r="C54" t="s">
        <v>36</v>
      </c>
      <c r="D54" t="s">
        <v>37</v>
      </c>
      <c r="E54" t="s">
        <v>69</v>
      </c>
      <c r="F54" t="s">
        <v>55</v>
      </c>
      <c r="G54" t="s">
        <v>17</v>
      </c>
      <c r="H54">
        <v>137</v>
      </c>
      <c r="I54" t="s">
        <v>18</v>
      </c>
      <c r="J54">
        <v>3.87</v>
      </c>
      <c r="K54" t="s">
        <v>19</v>
      </c>
      <c r="L54" t="s">
        <v>79</v>
      </c>
    </row>
    <row r="55" spans="1:12" x14ac:dyDescent="0.25">
      <c r="A55" s="1">
        <v>45658</v>
      </c>
      <c r="B55" t="s">
        <v>112</v>
      </c>
      <c r="C55" t="s">
        <v>22</v>
      </c>
      <c r="D55" t="s">
        <v>23</v>
      </c>
      <c r="E55" t="s">
        <v>49</v>
      </c>
      <c r="F55" t="s">
        <v>67</v>
      </c>
      <c r="G55" t="s">
        <v>17</v>
      </c>
      <c r="H55">
        <v>45</v>
      </c>
      <c r="I55" t="s">
        <v>27</v>
      </c>
      <c r="J55">
        <v>3.9</v>
      </c>
      <c r="K55" t="s">
        <v>19</v>
      </c>
      <c r="L55" t="s">
        <v>20</v>
      </c>
    </row>
    <row r="56" spans="1:12" x14ac:dyDescent="0.25">
      <c r="A56" s="1">
        <v>45721</v>
      </c>
      <c r="B56" t="s">
        <v>113</v>
      </c>
      <c r="C56" t="s">
        <v>45</v>
      </c>
      <c r="D56" t="s">
        <v>46</v>
      </c>
      <c r="E56" t="s">
        <v>69</v>
      </c>
      <c r="F56" t="s">
        <v>42</v>
      </c>
      <c r="G56" t="s">
        <v>17</v>
      </c>
      <c r="H56">
        <v>102</v>
      </c>
      <c r="I56" t="s">
        <v>18</v>
      </c>
      <c r="J56">
        <v>5.98</v>
      </c>
      <c r="K56" t="s">
        <v>19</v>
      </c>
      <c r="L56" t="s">
        <v>20</v>
      </c>
    </row>
    <row r="57" spans="1:12" x14ac:dyDescent="0.25">
      <c r="A57" s="1">
        <v>45679</v>
      </c>
      <c r="B57" t="s">
        <v>114</v>
      </c>
      <c r="C57" t="s">
        <v>36</v>
      </c>
      <c r="D57" t="s">
        <v>37</v>
      </c>
      <c r="E57" t="s">
        <v>54</v>
      </c>
      <c r="F57" t="s">
        <v>55</v>
      </c>
      <c r="G57" t="s">
        <v>17</v>
      </c>
      <c r="H57">
        <v>111</v>
      </c>
      <c r="I57" t="s">
        <v>18</v>
      </c>
      <c r="J57">
        <v>5.69</v>
      </c>
      <c r="K57" t="s">
        <v>34</v>
      </c>
      <c r="L57" t="s">
        <v>82</v>
      </c>
    </row>
    <row r="58" spans="1:12" x14ac:dyDescent="0.25">
      <c r="A58" s="1">
        <v>45660</v>
      </c>
      <c r="B58" t="s">
        <v>115</v>
      </c>
      <c r="C58" t="s">
        <v>36</v>
      </c>
      <c r="D58" t="s">
        <v>37</v>
      </c>
      <c r="E58" t="s">
        <v>15</v>
      </c>
      <c r="F58" t="s">
        <v>55</v>
      </c>
      <c r="G58" t="s">
        <v>17</v>
      </c>
      <c r="H58">
        <v>17</v>
      </c>
      <c r="I58" t="s">
        <v>50</v>
      </c>
      <c r="J58">
        <v>1.46</v>
      </c>
      <c r="K58" t="s">
        <v>32</v>
      </c>
      <c r="L58" t="s">
        <v>60</v>
      </c>
    </row>
    <row r="59" spans="1:12" x14ac:dyDescent="0.25">
      <c r="A59" s="1">
        <v>45728</v>
      </c>
      <c r="B59" t="s">
        <v>116</v>
      </c>
      <c r="C59" t="s">
        <v>62</v>
      </c>
      <c r="D59" t="s">
        <v>37</v>
      </c>
      <c r="E59" t="s">
        <v>49</v>
      </c>
      <c r="F59" t="s">
        <v>31</v>
      </c>
      <c r="G59" t="s">
        <v>26</v>
      </c>
      <c r="H59">
        <v>136</v>
      </c>
      <c r="I59" t="s">
        <v>18</v>
      </c>
      <c r="J59">
        <v>2.39</v>
      </c>
      <c r="K59" t="s">
        <v>34</v>
      </c>
      <c r="L59" t="s">
        <v>65</v>
      </c>
    </row>
    <row r="60" spans="1:12" x14ac:dyDescent="0.25">
      <c r="A60" s="1">
        <v>45666</v>
      </c>
      <c r="B60" t="s">
        <v>117</v>
      </c>
      <c r="C60" t="s">
        <v>98</v>
      </c>
      <c r="D60" t="s">
        <v>37</v>
      </c>
      <c r="E60" t="s">
        <v>49</v>
      </c>
      <c r="F60" t="s">
        <v>42</v>
      </c>
      <c r="G60" t="s">
        <v>17</v>
      </c>
      <c r="H60">
        <v>104</v>
      </c>
      <c r="I60" t="s">
        <v>18</v>
      </c>
      <c r="J60">
        <v>1.95</v>
      </c>
      <c r="K60" t="s">
        <v>19</v>
      </c>
      <c r="L60" t="s">
        <v>65</v>
      </c>
    </row>
    <row r="61" spans="1:12" x14ac:dyDescent="0.25">
      <c r="A61" s="1">
        <v>45708</v>
      </c>
      <c r="B61" t="s">
        <v>118</v>
      </c>
      <c r="C61" t="s">
        <v>62</v>
      </c>
      <c r="D61" t="s">
        <v>37</v>
      </c>
      <c r="E61" t="s">
        <v>15</v>
      </c>
      <c r="F61" t="s">
        <v>16</v>
      </c>
      <c r="G61" t="s">
        <v>17</v>
      </c>
      <c r="H61">
        <v>57</v>
      </c>
      <c r="I61" t="s">
        <v>27</v>
      </c>
      <c r="J61">
        <v>4.0599999999999996</v>
      </c>
      <c r="K61" t="s">
        <v>32</v>
      </c>
      <c r="L61" t="s">
        <v>65</v>
      </c>
    </row>
    <row r="62" spans="1:12" x14ac:dyDescent="0.25">
      <c r="A62" s="1">
        <v>45746</v>
      </c>
      <c r="B62" t="s">
        <v>119</v>
      </c>
      <c r="C62" t="s">
        <v>41</v>
      </c>
      <c r="D62" t="s">
        <v>37</v>
      </c>
      <c r="E62" t="s">
        <v>54</v>
      </c>
      <c r="F62" t="s">
        <v>31</v>
      </c>
      <c r="G62" t="s">
        <v>26</v>
      </c>
      <c r="H62">
        <v>91</v>
      </c>
      <c r="I62" t="s">
        <v>18</v>
      </c>
      <c r="J62">
        <v>1.67</v>
      </c>
      <c r="K62" t="s">
        <v>34</v>
      </c>
      <c r="L62" t="s">
        <v>79</v>
      </c>
    </row>
    <row r="63" spans="1:12" x14ac:dyDescent="0.25">
      <c r="A63" s="1">
        <v>45729</v>
      </c>
      <c r="B63" t="s">
        <v>120</v>
      </c>
      <c r="C63" t="s">
        <v>22</v>
      </c>
      <c r="D63" t="s">
        <v>23</v>
      </c>
      <c r="E63" t="s">
        <v>49</v>
      </c>
      <c r="F63" t="s">
        <v>16</v>
      </c>
      <c r="G63" t="s">
        <v>17</v>
      </c>
      <c r="H63">
        <v>102</v>
      </c>
      <c r="I63" t="s">
        <v>18</v>
      </c>
      <c r="J63">
        <v>3.58</v>
      </c>
      <c r="K63" t="s">
        <v>19</v>
      </c>
      <c r="L63" t="s">
        <v>95</v>
      </c>
    </row>
    <row r="64" spans="1:12" x14ac:dyDescent="0.25">
      <c r="A64" s="1">
        <v>45729</v>
      </c>
      <c r="B64" t="s">
        <v>121</v>
      </c>
      <c r="C64" t="s">
        <v>13</v>
      </c>
      <c r="D64" t="s">
        <v>14</v>
      </c>
      <c r="E64" t="s">
        <v>49</v>
      </c>
      <c r="F64" t="s">
        <v>67</v>
      </c>
      <c r="G64" t="s">
        <v>17</v>
      </c>
      <c r="H64">
        <v>95</v>
      </c>
      <c r="I64" t="s">
        <v>18</v>
      </c>
      <c r="J64">
        <v>5.98</v>
      </c>
      <c r="K64" t="s">
        <v>19</v>
      </c>
      <c r="L64" t="s">
        <v>43</v>
      </c>
    </row>
    <row r="65" spans="1:12" x14ac:dyDescent="0.25">
      <c r="A65" s="1">
        <v>45714</v>
      </c>
      <c r="B65" t="s">
        <v>122</v>
      </c>
      <c r="C65" t="s">
        <v>41</v>
      </c>
      <c r="D65" t="s">
        <v>37</v>
      </c>
      <c r="E65" t="s">
        <v>69</v>
      </c>
      <c r="F65" t="s">
        <v>55</v>
      </c>
      <c r="G65" t="s">
        <v>17</v>
      </c>
      <c r="H65">
        <v>139</v>
      </c>
      <c r="I65" t="s">
        <v>18</v>
      </c>
      <c r="J65">
        <v>3.09</v>
      </c>
      <c r="K65" t="s">
        <v>34</v>
      </c>
      <c r="L65" t="s">
        <v>39</v>
      </c>
    </row>
    <row r="66" spans="1:12" x14ac:dyDescent="0.25">
      <c r="A66" s="1">
        <v>45698</v>
      </c>
      <c r="B66" t="s">
        <v>123</v>
      </c>
      <c r="C66" t="s">
        <v>62</v>
      </c>
      <c r="D66" t="s">
        <v>37</v>
      </c>
      <c r="E66" t="s">
        <v>49</v>
      </c>
      <c r="F66" t="s">
        <v>42</v>
      </c>
      <c r="G66" t="s">
        <v>17</v>
      </c>
      <c r="H66">
        <v>161</v>
      </c>
      <c r="I66" t="s">
        <v>18</v>
      </c>
      <c r="J66">
        <v>3.33</v>
      </c>
      <c r="K66" t="s">
        <v>34</v>
      </c>
      <c r="L66" t="s">
        <v>124</v>
      </c>
    </row>
    <row r="67" spans="1:12" x14ac:dyDescent="0.25">
      <c r="A67" s="1">
        <v>45735</v>
      </c>
      <c r="B67" t="s">
        <v>125</v>
      </c>
      <c r="C67" t="s">
        <v>22</v>
      </c>
      <c r="D67" t="s">
        <v>23</v>
      </c>
      <c r="E67" t="s">
        <v>69</v>
      </c>
      <c r="F67" t="s">
        <v>55</v>
      </c>
      <c r="G67" t="s">
        <v>17</v>
      </c>
      <c r="H67">
        <v>105</v>
      </c>
      <c r="I67" t="s">
        <v>18</v>
      </c>
      <c r="J67">
        <v>1.6</v>
      </c>
      <c r="K67" t="s">
        <v>34</v>
      </c>
      <c r="L67" t="s">
        <v>39</v>
      </c>
    </row>
    <row r="68" spans="1:12" x14ac:dyDescent="0.25">
      <c r="A68" s="1">
        <v>45731</v>
      </c>
      <c r="B68" t="s">
        <v>126</v>
      </c>
      <c r="C68" t="s">
        <v>13</v>
      </c>
      <c r="D68" t="s">
        <v>14</v>
      </c>
      <c r="E68" t="s">
        <v>49</v>
      </c>
      <c r="F68" t="s">
        <v>31</v>
      </c>
      <c r="G68" t="s">
        <v>26</v>
      </c>
      <c r="H68">
        <v>63</v>
      </c>
      <c r="I68" t="s">
        <v>27</v>
      </c>
      <c r="J68">
        <v>2.76</v>
      </c>
      <c r="K68" t="s">
        <v>34</v>
      </c>
      <c r="L68" t="s">
        <v>82</v>
      </c>
    </row>
    <row r="69" spans="1:12" x14ac:dyDescent="0.25">
      <c r="A69" s="1">
        <v>45735</v>
      </c>
      <c r="B69" t="s">
        <v>127</v>
      </c>
      <c r="C69" t="s">
        <v>57</v>
      </c>
      <c r="D69" t="s">
        <v>37</v>
      </c>
      <c r="E69" t="s">
        <v>38</v>
      </c>
      <c r="F69" t="s">
        <v>42</v>
      </c>
      <c r="G69" t="s">
        <v>17</v>
      </c>
      <c r="H69">
        <v>5</v>
      </c>
      <c r="I69" t="s">
        <v>50</v>
      </c>
      <c r="J69">
        <v>5.08</v>
      </c>
      <c r="K69" t="s">
        <v>34</v>
      </c>
      <c r="L69" t="s">
        <v>128</v>
      </c>
    </row>
    <row r="70" spans="1:12" x14ac:dyDescent="0.25">
      <c r="A70" s="1">
        <v>45732</v>
      </c>
      <c r="B70" t="s">
        <v>129</v>
      </c>
      <c r="C70" t="s">
        <v>41</v>
      </c>
      <c r="D70" t="s">
        <v>37</v>
      </c>
      <c r="E70" t="s">
        <v>54</v>
      </c>
      <c r="F70" t="s">
        <v>67</v>
      </c>
      <c r="G70" t="s">
        <v>17</v>
      </c>
      <c r="H70">
        <v>160</v>
      </c>
      <c r="I70" t="s">
        <v>18</v>
      </c>
      <c r="J70">
        <v>4.66</v>
      </c>
      <c r="K70" t="s">
        <v>32</v>
      </c>
      <c r="L70" t="s">
        <v>82</v>
      </c>
    </row>
    <row r="71" spans="1:12" x14ac:dyDescent="0.25">
      <c r="A71" s="1">
        <v>45662</v>
      </c>
      <c r="B71" t="s">
        <v>130</v>
      </c>
      <c r="C71" t="s">
        <v>13</v>
      </c>
      <c r="D71" t="s">
        <v>14</v>
      </c>
      <c r="E71" t="s">
        <v>69</v>
      </c>
      <c r="F71" t="s">
        <v>67</v>
      </c>
      <c r="G71" t="s">
        <v>17</v>
      </c>
      <c r="H71">
        <v>108</v>
      </c>
      <c r="I71" t="s">
        <v>18</v>
      </c>
      <c r="J71">
        <v>5.18</v>
      </c>
      <c r="K71" t="s">
        <v>34</v>
      </c>
      <c r="L71" t="s">
        <v>58</v>
      </c>
    </row>
    <row r="72" spans="1:12" x14ac:dyDescent="0.25">
      <c r="A72" s="1">
        <v>45660</v>
      </c>
      <c r="B72" t="s">
        <v>131</v>
      </c>
      <c r="C72" t="s">
        <v>36</v>
      </c>
      <c r="D72" t="s">
        <v>37</v>
      </c>
      <c r="E72" t="s">
        <v>49</v>
      </c>
      <c r="F72" t="s">
        <v>67</v>
      </c>
      <c r="G72" t="s">
        <v>17</v>
      </c>
      <c r="H72">
        <v>25</v>
      </c>
      <c r="I72" t="s">
        <v>50</v>
      </c>
      <c r="J72">
        <v>6.27</v>
      </c>
      <c r="K72" t="s">
        <v>19</v>
      </c>
      <c r="L72" t="s">
        <v>58</v>
      </c>
    </row>
    <row r="73" spans="1:12" x14ac:dyDescent="0.25">
      <c r="A73" s="1">
        <v>45738</v>
      </c>
      <c r="B73" t="s">
        <v>132</v>
      </c>
      <c r="C73" t="s">
        <v>22</v>
      </c>
      <c r="D73" t="s">
        <v>23</v>
      </c>
      <c r="E73" t="s">
        <v>38</v>
      </c>
      <c r="F73" t="s">
        <v>55</v>
      </c>
      <c r="G73" t="s">
        <v>17</v>
      </c>
      <c r="H73">
        <v>63</v>
      </c>
      <c r="I73" t="s">
        <v>27</v>
      </c>
      <c r="J73">
        <v>2.4700000000000002</v>
      </c>
      <c r="K73" t="s">
        <v>19</v>
      </c>
      <c r="L73" t="s">
        <v>20</v>
      </c>
    </row>
    <row r="74" spans="1:12" x14ac:dyDescent="0.25">
      <c r="A74" s="1">
        <v>45700</v>
      </c>
      <c r="B74" t="s">
        <v>133</v>
      </c>
      <c r="C74" t="s">
        <v>36</v>
      </c>
      <c r="D74" t="s">
        <v>37</v>
      </c>
      <c r="E74" t="s">
        <v>54</v>
      </c>
      <c r="F74" t="s">
        <v>67</v>
      </c>
      <c r="G74" t="s">
        <v>17</v>
      </c>
      <c r="H74">
        <v>106</v>
      </c>
      <c r="I74" t="s">
        <v>18</v>
      </c>
      <c r="J74">
        <v>6.12</v>
      </c>
      <c r="K74" t="s">
        <v>34</v>
      </c>
      <c r="L74" t="s">
        <v>39</v>
      </c>
    </row>
    <row r="75" spans="1:12" x14ac:dyDescent="0.25">
      <c r="A75" s="1">
        <v>45673</v>
      </c>
      <c r="B75" t="s">
        <v>134</v>
      </c>
      <c r="C75" t="s">
        <v>57</v>
      </c>
      <c r="D75" t="s">
        <v>37</v>
      </c>
      <c r="E75" t="s">
        <v>24</v>
      </c>
      <c r="F75" t="s">
        <v>55</v>
      </c>
      <c r="G75" t="s">
        <v>17</v>
      </c>
      <c r="H75">
        <v>93</v>
      </c>
      <c r="I75" t="s">
        <v>18</v>
      </c>
      <c r="J75">
        <v>4.82</v>
      </c>
      <c r="K75" t="s">
        <v>34</v>
      </c>
      <c r="L75" t="s">
        <v>82</v>
      </c>
    </row>
    <row r="76" spans="1:12" x14ac:dyDescent="0.25">
      <c r="A76" s="1">
        <v>45669</v>
      </c>
      <c r="B76" t="s">
        <v>135</v>
      </c>
      <c r="C76" t="s">
        <v>13</v>
      </c>
      <c r="D76" t="s">
        <v>14</v>
      </c>
      <c r="E76" t="s">
        <v>38</v>
      </c>
      <c r="F76" t="s">
        <v>31</v>
      </c>
      <c r="G76" t="s">
        <v>26</v>
      </c>
      <c r="H76">
        <v>37</v>
      </c>
      <c r="I76" t="s">
        <v>27</v>
      </c>
      <c r="J76">
        <v>4.0999999999999996</v>
      </c>
      <c r="K76" t="s">
        <v>19</v>
      </c>
      <c r="L76" t="s">
        <v>124</v>
      </c>
    </row>
    <row r="77" spans="1:12" x14ac:dyDescent="0.25">
      <c r="A77" s="1">
        <v>45671</v>
      </c>
      <c r="B77" t="s">
        <v>136</v>
      </c>
      <c r="C77" t="s">
        <v>22</v>
      </c>
      <c r="D77" t="s">
        <v>23</v>
      </c>
      <c r="E77" t="s">
        <v>38</v>
      </c>
      <c r="F77" t="s">
        <v>67</v>
      </c>
      <c r="G77" t="s">
        <v>17</v>
      </c>
      <c r="H77">
        <v>120</v>
      </c>
      <c r="I77" t="s">
        <v>18</v>
      </c>
      <c r="J77">
        <v>2.2000000000000002</v>
      </c>
      <c r="K77" t="s">
        <v>32</v>
      </c>
      <c r="L77" t="s">
        <v>124</v>
      </c>
    </row>
    <row r="78" spans="1:12" x14ac:dyDescent="0.25">
      <c r="A78" s="1">
        <v>45715</v>
      </c>
      <c r="B78" t="s">
        <v>137</v>
      </c>
      <c r="C78" t="s">
        <v>36</v>
      </c>
      <c r="D78" t="s">
        <v>37</v>
      </c>
      <c r="E78" t="s">
        <v>38</v>
      </c>
      <c r="F78" t="s">
        <v>42</v>
      </c>
      <c r="G78" t="s">
        <v>17</v>
      </c>
      <c r="H78">
        <v>112</v>
      </c>
      <c r="I78" t="s">
        <v>18</v>
      </c>
      <c r="J78">
        <v>2.44</v>
      </c>
      <c r="K78" t="s">
        <v>19</v>
      </c>
      <c r="L78" t="s">
        <v>82</v>
      </c>
    </row>
    <row r="79" spans="1:12" x14ac:dyDescent="0.25">
      <c r="A79" s="1">
        <v>45738</v>
      </c>
      <c r="B79" t="s">
        <v>138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>
        <v>119</v>
      </c>
      <c r="I79" t="s">
        <v>18</v>
      </c>
      <c r="J79">
        <v>1.21</v>
      </c>
      <c r="K79" t="s">
        <v>19</v>
      </c>
      <c r="L79" t="s">
        <v>51</v>
      </c>
    </row>
    <row r="80" spans="1:12" x14ac:dyDescent="0.25">
      <c r="A80" s="1">
        <v>45678</v>
      </c>
      <c r="B80" t="s">
        <v>139</v>
      </c>
      <c r="C80" t="s">
        <v>98</v>
      </c>
      <c r="D80" t="s">
        <v>37</v>
      </c>
      <c r="E80" t="s">
        <v>38</v>
      </c>
      <c r="F80" t="s">
        <v>42</v>
      </c>
      <c r="G80" t="s">
        <v>17</v>
      </c>
      <c r="H80">
        <v>52</v>
      </c>
      <c r="I80" t="s">
        <v>27</v>
      </c>
      <c r="J80">
        <v>1.1299999999999999</v>
      </c>
      <c r="K80" t="s">
        <v>32</v>
      </c>
      <c r="L80" t="s">
        <v>58</v>
      </c>
    </row>
    <row r="81" spans="1:12" x14ac:dyDescent="0.25">
      <c r="A81" s="1">
        <v>45686</v>
      </c>
      <c r="B81" t="s">
        <v>140</v>
      </c>
      <c r="C81" t="s">
        <v>13</v>
      </c>
      <c r="D81" t="s">
        <v>14</v>
      </c>
      <c r="E81" t="s">
        <v>15</v>
      </c>
      <c r="F81" t="s">
        <v>25</v>
      </c>
      <c r="G81" t="s">
        <v>26</v>
      </c>
      <c r="H81">
        <v>156</v>
      </c>
      <c r="I81" t="s">
        <v>18</v>
      </c>
      <c r="J81">
        <v>3.28</v>
      </c>
      <c r="K81" t="s">
        <v>34</v>
      </c>
      <c r="L81" t="s">
        <v>128</v>
      </c>
    </row>
    <row r="82" spans="1:12" x14ac:dyDescent="0.25">
      <c r="A82" s="1">
        <v>45690</v>
      </c>
      <c r="B82" t="s">
        <v>141</v>
      </c>
      <c r="C82" t="s">
        <v>53</v>
      </c>
      <c r="D82" t="s">
        <v>37</v>
      </c>
      <c r="E82" t="s">
        <v>54</v>
      </c>
      <c r="F82" t="s">
        <v>16</v>
      </c>
      <c r="G82" t="s">
        <v>17</v>
      </c>
      <c r="H82">
        <v>44</v>
      </c>
      <c r="I82" t="s">
        <v>27</v>
      </c>
      <c r="J82">
        <v>2.88</v>
      </c>
      <c r="K82" t="s">
        <v>32</v>
      </c>
      <c r="L82" t="s">
        <v>65</v>
      </c>
    </row>
    <row r="83" spans="1:12" x14ac:dyDescent="0.25">
      <c r="A83" s="1">
        <v>45687</v>
      </c>
      <c r="B83" t="s">
        <v>142</v>
      </c>
      <c r="C83" t="s">
        <v>13</v>
      </c>
      <c r="D83" t="s">
        <v>14</v>
      </c>
      <c r="E83" t="s">
        <v>69</v>
      </c>
      <c r="F83" t="s">
        <v>55</v>
      </c>
      <c r="G83" t="s">
        <v>17</v>
      </c>
      <c r="H83">
        <v>107</v>
      </c>
      <c r="I83" t="s">
        <v>18</v>
      </c>
      <c r="J83">
        <v>5.44</v>
      </c>
      <c r="K83" t="s">
        <v>32</v>
      </c>
      <c r="L83" t="s">
        <v>47</v>
      </c>
    </row>
    <row r="84" spans="1:12" x14ac:dyDescent="0.25">
      <c r="A84" s="1">
        <v>45702</v>
      </c>
      <c r="B84" t="s">
        <v>143</v>
      </c>
      <c r="C84" t="s">
        <v>45</v>
      </c>
      <c r="D84" t="s">
        <v>46</v>
      </c>
      <c r="E84" t="s">
        <v>54</v>
      </c>
      <c r="F84" t="s">
        <v>16</v>
      </c>
      <c r="G84" t="s">
        <v>17</v>
      </c>
      <c r="H84">
        <v>100</v>
      </c>
      <c r="I84" t="s">
        <v>18</v>
      </c>
      <c r="J84">
        <v>6.17</v>
      </c>
      <c r="K84" t="s">
        <v>32</v>
      </c>
      <c r="L84" t="s">
        <v>20</v>
      </c>
    </row>
    <row r="85" spans="1:12" x14ac:dyDescent="0.25">
      <c r="A85" s="1">
        <v>45740</v>
      </c>
      <c r="B85" t="s">
        <v>144</v>
      </c>
      <c r="C85" t="s">
        <v>98</v>
      </c>
      <c r="D85" t="s">
        <v>37</v>
      </c>
      <c r="E85" t="s">
        <v>24</v>
      </c>
      <c r="F85" t="s">
        <v>31</v>
      </c>
      <c r="G85" t="s">
        <v>26</v>
      </c>
      <c r="H85">
        <v>104</v>
      </c>
      <c r="I85" t="s">
        <v>18</v>
      </c>
      <c r="J85">
        <v>4.2</v>
      </c>
      <c r="K85" t="s">
        <v>34</v>
      </c>
      <c r="L85" t="s">
        <v>43</v>
      </c>
    </row>
    <row r="86" spans="1:12" x14ac:dyDescent="0.25">
      <c r="A86" s="1">
        <v>45676</v>
      </c>
      <c r="B86" t="s">
        <v>145</v>
      </c>
      <c r="C86" t="s">
        <v>30</v>
      </c>
      <c r="D86" t="s">
        <v>14</v>
      </c>
      <c r="E86" t="s">
        <v>54</v>
      </c>
      <c r="F86" t="s">
        <v>25</v>
      </c>
      <c r="G86" t="s">
        <v>26</v>
      </c>
      <c r="H86">
        <v>106</v>
      </c>
      <c r="I86" t="s">
        <v>18</v>
      </c>
      <c r="J86">
        <v>2.88</v>
      </c>
      <c r="K86" t="s">
        <v>19</v>
      </c>
      <c r="L86" t="s">
        <v>79</v>
      </c>
    </row>
    <row r="87" spans="1:12" x14ac:dyDescent="0.25">
      <c r="A87" s="1">
        <v>45697</v>
      </c>
      <c r="B87" t="s">
        <v>146</v>
      </c>
      <c r="C87" t="s">
        <v>45</v>
      </c>
      <c r="D87" t="s">
        <v>46</v>
      </c>
      <c r="E87" t="s">
        <v>38</v>
      </c>
      <c r="F87" t="s">
        <v>42</v>
      </c>
      <c r="G87" t="s">
        <v>17</v>
      </c>
      <c r="H87">
        <v>62</v>
      </c>
      <c r="I87" t="s">
        <v>27</v>
      </c>
      <c r="J87">
        <v>3.77</v>
      </c>
      <c r="K87" t="s">
        <v>34</v>
      </c>
      <c r="L87" t="s">
        <v>60</v>
      </c>
    </row>
    <row r="88" spans="1:12" x14ac:dyDescent="0.25">
      <c r="A88" s="1">
        <v>45727</v>
      </c>
      <c r="B88" t="s">
        <v>147</v>
      </c>
      <c r="C88" t="s">
        <v>36</v>
      </c>
      <c r="D88" t="s">
        <v>37</v>
      </c>
      <c r="E88" t="s">
        <v>38</v>
      </c>
      <c r="F88" t="s">
        <v>16</v>
      </c>
      <c r="G88" t="s">
        <v>17</v>
      </c>
      <c r="H88">
        <v>24</v>
      </c>
      <c r="I88" t="s">
        <v>50</v>
      </c>
      <c r="J88">
        <v>6.06</v>
      </c>
      <c r="K88" t="s">
        <v>19</v>
      </c>
      <c r="L88" t="s">
        <v>20</v>
      </c>
    </row>
    <row r="89" spans="1:12" x14ac:dyDescent="0.25">
      <c r="A89" s="1">
        <v>45680</v>
      </c>
      <c r="B89" t="s">
        <v>148</v>
      </c>
      <c r="C89" t="s">
        <v>13</v>
      </c>
      <c r="D89" t="s">
        <v>14</v>
      </c>
      <c r="E89" t="s">
        <v>49</v>
      </c>
      <c r="F89" t="s">
        <v>67</v>
      </c>
      <c r="G89" t="s">
        <v>17</v>
      </c>
      <c r="H89">
        <v>158</v>
      </c>
      <c r="I89" t="s">
        <v>18</v>
      </c>
      <c r="J89">
        <v>3.47</v>
      </c>
      <c r="K89" t="s">
        <v>19</v>
      </c>
      <c r="L89" t="s">
        <v>47</v>
      </c>
    </row>
    <row r="90" spans="1:12" x14ac:dyDescent="0.25">
      <c r="A90" s="1">
        <v>45682</v>
      </c>
      <c r="B90" t="s">
        <v>149</v>
      </c>
      <c r="C90" t="s">
        <v>30</v>
      </c>
      <c r="D90" t="s">
        <v>14</v>
      </c>
      <c r="E90" t="s">
        <v>38</v>
      </c>
      <c r="F90" t="s">
        <v>67</v>
      </c>
      <c r="G90" t="s">
        <v>17</v>
      </c>
      <c r="H90">
        <v>147</v>
      </c>
      <c r="I90" t="s">
        <v>18</v>
      </c>
      <c r="J90">
        <v>6.32</v>
      </c>
      <c r="K90" t="s">
        <v>34</v>
      </c>
      <c r="L90" t="s">
        <v>51</v>
      </c>
    </row>
    <row r="91" spans="1:12" x14ac:dyDescent="0.25">
      <c r="A91" s="1">
        <v>45747</v>
      </c>
      <c r="B91" t="s">
        <v>150</v>
      </c>
      <c r="C91" t="s">
        <v>62</v>
      </c>
      <c r="D91" t="s">
        <v>37</v>
      </c>
      <c r="E91" t="s">
        <v>69</v>
      </c>
      <c r="F91" t="s">
        <v>67</v>
      </c>
      <c r="G91" t="s">
        <v>17</v>
      </c>
      <c r="H91">
        <v>63</v>
      </c>
      <c r="I91" t="s">
        <v>27</v>
      </c>
      <c r="J91">
        <v>1.41</v>
      </c>
      <c r="K91" t="s">
        <v>19</v>
      </c>
      <c r="L91" t="s">
        <v>82</v>
      </c>
    </row>
    <row r="92" spans="1:12" x14ac:dyDescent="0.25">
      <c r="A92" s="1">
        <v>45744</v>
      </c>
      <c r="B92" t="s">
        <v>151</v>
      </c>
      <c r="C92" t="s">
        <v>57</v>
      </c>
      <c r="D92" t="s">
        <v>37</v>
      </c>
      <c r="E92" t="s">
        <v>24</v>
      </c>
      <c r="F92" t="s">
        <v>42</v>
      </c>
      <c r="G92" t="s">
        <v>17</v>
      </c>
      <c r="H92">
        <v>84</v>
      </c>
      <c r="I92" t="s">
        <v>18</v>
      </c>
      <c r="J92">
        <v>4.3899999999999997</v>
      </c>
      <c r="K92" t="s">
        <v>32</v>
      </c>
      <c r="L92" t="s">
        <v>65</v>
      </c>
    </row>
    <row r="93" spans="1:12" x14ac:dyDescent="0.25">
      <c r="A93" s="1">
        <v>45713</v>
      </c>
      <c r="B93" t="s">
        <v>152</v>
      </c>
      <c r="C93" t="s">
        <v>13</v>
      </c>
      <c r="D93" t="s">
        <v>14</v>
      </c>
      <c r="E93" t="s">
        <v>54</v>
      </c>
      <c r="F93" t="s">
        <v>31</v>
      </c>
      <c r="G93" t="s">
        <v>26</v>
      </c>
      <c r="H93">
        <v>41</v>
      </c>
      <c r="I93" t="s">
        <v>27</v>
      </c>
      <c r="J93">
        <v>1.97</v>
      </c>
      <c r="K93" t="s">
        <v>34</v>
      </c>
      <c r="L93" t="s">
        <v>65</v>
      </c>
    </row>
    <row r="94" spans="1:12" x14ac:dyDescent="0.25">
      <c r="A94" s="1">
        <v>45709</v>
      </c>
      <c r="B94" t="s">
        <v>153</v>
      </c>
      <c r="C94" t="s">
        <v>98</v>
      </c>
      <c r="D94" t="s">
        <v>37</v>
      </c>
      <c r="E94" t="s">
        <v>54</v>
      </c>
      <c r="F94" t="s">
        <v>31</v>
      </c>
      <c r="G94" t="s">
        <v>26</v>
      </c>
      <c r="H94">
        <v>95</v>
      </c>
      <c r="I94" t="s">
        <v>18</v>
      </c>
      <c r="J94">
        <v>3.84</v>
      </c>
      <c r="K94" t="s">
        <v>32</v>
      </c>
      <c r="L94" t="s">
        <v>65</v>
      </c>
    </row>
    <row r="95" spans="1:12" x14ac:dyDescent="0.25">
      <c r="A95" s="1">
        <v>45743</v>
      </c>
      <c r="B95" t="s">
        <v>154</v>
      </c>
      <c r="C95" t="s">
        <v>22</v>
      </c>
      <c r="D95" t="s">
        <v>23</v>
      </c>
      <c r="E95" t="s">
        <v>15</v>
      </c>
      <c r="F95" t="s">
        <v>25</v>
      </c>
      <c r="G95" t="s">
        <v>26</v>
      </c>
      <c r="H95">
        <v>10</v>
      </c>
      <c r="I95" t="s">
        <v>50</v>
      </c>
      <c r="J95">
        <v>6.47</v>
      </c>
      <c r="K95" t="s">
        <v>32</v>
      </c>
      <c r="L95" t="s">
        <v>60</v>
      </c>
    </row>
    <row r="96" spans="1:12" x14ac:dyDescent="0.25">
      <c r="A96" s="1">
        <v>45740</v>
      </c>
      <c r="B96" t="s">
        <v>155</v>
      </c>
      <c r="C96" t="s">
        <v>41</v>
      </c>
      <c r="D96" t="s">
        <v>37</v>
      </c>
      <c r="E96" t="s">
        <v>49</v>
      </c>
      <c r="F96" t="s">
        <v>67</v>
      </c>
      <c r="G96" t="s">
        <v>17</v>
      </c>
      <c r="H96">
        <v>26</v>
      </c>
      <c r="I96" t="s">
        <v>50</v>
      </c>
      <c r="J96">
        <v>2.48</v>
      </c>
      <c r="K96" t="s">
        <v>19</v>
      </c>
      <c r="L96" t="s">
        <v>124</v>
      </c>
    </row>
    <row r="97" spans="1:12" x14ac:dyDescent="0.25">
      <c r="A97" s="1">
        <v>45711</v>
      </c>
      <c r="B97" t="s">
        <v>156</v>
      </c>
      <c r="C97" t="s">
        <v>45</v>
      </c>
      <c r="D97" t="s">
        <v>46</v>
      </c>
      <c r="E97" t="s">
        <v>69</v>
      </c>
      <c r="F97" t="s">
        <v>55</v>
      </c>
      <c r="G97" t="s">
        <v>17</v>
      </c>
      <c r="H97">
        <v>12</v>
      </c>
      <c r="I97" t="s">
        <v>50</v>
      </c>
      <c r="J97">
        <v>3.52</v>
      </c>
      <c r="K97" t="s">
        <v>32</v>
      </c>
      <c r="L97" t="s">
        <v>39</v>
      </c>
    </row>
    <row r="98" spans="1:12" x14ac:dyDescent="0.25">
      <c r="A98" s="1">
        <v>45731</v>
      </c>
      <c r="B98" t="s">
        <v>157</v>
      </c>
      <c r="C98" t="s">
        <v>62</v>
      </c>
      <c r="D98" t="s">
        <v>37</v>
      </c>
      <c r="E98" t="s">
        <v>69</v>
      </c>
      <c r="F98" t="s">
        <v>25</v>
      </c>
      <c r="G98" t="s">
        <v>26</v>
      </c>
      <c r="H98">
        <v>25</v>
      </c>
      <c r="I98" t="s">
        <v>50</v>
      </c>
      <c r="J98">
        <v>3.54</v>
      </c>
      <c r="K98" t="s">
        <v>34</v>
      </c>
      <c r="L98" t="s">
        <v>79</v>
      </c>
    </row>
    <row r="99" spans="1:12" x14ac:dyDescent="0.25">
      <c r="A99" s="1">
        <v>45687</v>
      </c>
      <c r="B99" t="s">
        <v>158</v>
      </c>
      <c r="C99" t="s">
        <v>98</v>
      </c>
      <c r="D99" t="s">
        <v>37</v>
      </c>
      <c r="E99" t="s">
        <v>15</v>
      </c>
      <c r="F99" t="s">
        <v>25</v>
      </c>
      <c r="G99" t="s">
        <v>26</v>
      </c>
      <c r="H99">
        <v>32</v>
      </c>
      <c r="I99" t="s">
        <v>27</v>
      </c>
      <c r="J99">
        <v>2.97</v>
      </c>
      <c r="K99" t="s">
        <v>32</v>
      </c>
      <c r="L99" t="s">
        <v>60</v>
      </c>
    </row>
    <row r="100" spans="1:12" x14ac:dyDescent="0.25">
      <c r="A100" s="1">
        <v>45715</v>
      </c>
      <c r="B100" t="s">
        <v>159</v>
      </c>
      <c r="C100" t="s">
        <v>41</v>
      </c>
      <c r="D100" t="s">
        <v>37</v>
      </c>
      <c r="E100" t="s">
        <v>69</v>
      </c>
      <c r="F100" t="s">
        <v>42</v>
      </c>
      <c r="G100" t="s">
        <v>17</v>
      </c>
      <c r="H100">
        <v>13</v>
      </c>
      <c r="I100" t="s">
        <v>50</v>
      </c>
      <c r="J100">
        <v>3.81</v>
      </c>
      <c r="K100" t="s">
        <v>19</v>
      </c>
      <c r="L100" t="s">
        <v>43</v>
      </c>
    </row>
    <row r="101" spans="1:12" x14ac:dyDescent="0.25">
      <c r="A101" s="1">
        <v>45683</v>
      </c>
      <c r="B101" t="s">
        <v>160</v>
      </c>
      <c r="C101" t="s">
        <v>53</v>
      </c>
      <c r="D101" t="s">
        <v>37</v>
      </c>
      <c r="E101" t="s">
        <v>38</v>
      </c>
      <c r="F101" t="s">
        <v>55</v>
      </c>
      <c r="G101" t="s">
        <v>17</v>
      </c>
      <c r="H101">
        <v>135</v>
      </c>
      <c r="I101" t="s">
        <v>18</v>
      </c>
      <c r="J101">
        <v>5.0199999999999996</v>
      </c>
      <c r="K101" t="s">
        <v>34</v>
      </c>
      <c r="L101" t="s">
        <v>95</v>
      </c>
    </row>
    <row r="102" spans="1:12" x14ac:dyDescent="0.25">
      <c r="A102" s="1">
        <v>45690</v>
      </c>
      <c r="B102" t="s">
        <v>161</v>
      </c>
      <c r="C102" t="s">
        <v>45</v>
      </c>
      <c r="D102" t="s">
        <v>46</v>
      </c>
      <c r="E102" t="s">
        <v>24</v>
      </c>
      <c r="F102" t="s">
        <v>25</v>
      </c>
      <c r="G102" t="s">
        <v>26</v>
      </c>
      <c r="H102">
        <v>147</v>
      </c>
      <c r="I102" t="s">
        <v>18</v>
      </c>
      <c r="J102">
        <v>2.25</v>
      </c>
      <c r="K102" t="s">
        <v>34</v>
      </c>
      <c r="L102" t="s">
        <v>124</v>
      </c>
    </row>
    <row r="103" spans="1:12" x14ac:dyDescent="0.25">
      <c r="A103" s="1">
        <v>45673</v>
      </c>
      <c r="B103" t="s">
        <v>162</v>
      </c>
      <c r="C103" t="s">
        <v>22</v>
      </c>
      <c r="D103" t="s">
        <v>23</v>
      </c>
      <c r="E103" t="s">
        <v>24</v>
      </c>
      <c r="F103" t="s">
        <v>16</v>
      </c>
      <c r="G103" t="s">
        <v>17</v>
      </c>
      <c r="H103">
        <v>122</v>
      </c>
      <c r="I103" t="s">
        <v>18</v>
      </c>
      <c r="J103">
        <v>1.71</v>
      </c>
      <c r="K103" t="s">
        <v>32</v>
      </c>
      <c r="L103" t="s">
        <v>47</v>
      </c>
    </row>
    <row r="104" spans="1:12" x14ac:dyDescent="0.25">
      <c r="A104" s="1">
        <v>45678</v>
      </c>
      <c r="B104" t="s">
        <v>163</v>
      </c>
      <c r="C104" t="s">
        <v>30</v>
      </c>
      <c r="D104" t="s">
        <v>14</v>
      </c>
      <c r="E104" t="s">
        <v>15</v>
      </c>
      <c r="F104" t="s">
        <v>42</v>
      </c>
      <c r="G104" t="s">
        <v>17</v>
      </c>
      <c r="H104">
        <v>180</v>
      </c>
      <c r="I104" t="s">
        <v>18</v>
      </c>
      <c r="J104">
        <v>3.43</v>
      </c>
      <c r="K104" t="s">
        <v>34</v>
      </c>
      <c r="L104" t="s">
        <v>95</v>
      </c>
    </row>
    <row r="105" spans="1:12" x14ac:dyDescent="0.25">
      <c r="A105" s="1">
        <v>45698</v>
      </c>
      <c r="B105" t="s">
        <v>164</v>
      </c>
      <c r="C105" t="s">
        <v>62</v>
      </c>
      <c r="D105" t="s">
        <v>37</v>
      </c>
      <c r="E105" t="s">
        <v>15</v>
      </c>
      <c r="F105" t="s">
        <v>25</v>
      </c>
      <c r="G105" t="s">
        <v>26</v>
      </c>
      <c r="H105">
        <v>27</v>
      </c>
      <c r="I105" t="s">
        <v>50</v>
      </c>
      <c r="J105">
        <v>2.04</v>
      </c>
      <c r="K105" t="s">
        <v>19</v>
      </c>
      <c r="L105" t="s">
        <v>47</v>
      </c>
    </row>
    <row r="106" spans="1:12" x14ac:dyDescent="0.25">
      <c r="A106" s="1">
        <v>45681</v>
      </c>
      <c r="B106" t="s">
        <v>165</v>
      </c>
      <c r="C106" t="s">
        <v>13</v>
      </c>
      <c r="D106" t="s">
        <v>14</v>
      </c>
      <c r="E106" t="s">
        <v>54</v>
      </c>
      <c r="F106" t="s">
        <v>31</v>
      </c>
      <c r="G106" t="s">
        <v>26</v>
      </c>
      <c r="H106">
        <v>29</v>
      </c>
      <c r="I106" t="s">
        <v>50</v>
      </c>
      <c r="J106">
        <v>2.93</v>
      </c>
      <c r="K106" t="s">
        <v>32</v>
      </c>
      <c r="L106" t="s">
        <v>20</v>
      </c>
    </row>
    <row r="107" spans="1:12" x14ac:dyDescent="0.25">
      <c r="A107" s="1">
        <v>45674</v>
      </c>
      <c r="B107" t="s">
        <v>166</v>
      </c>
      <c r="C107" t="s">
        <v>62</v>
      </c>
      <c r="D107" t="s">
        <v>37</v>
      </c>
      <c r="E107" t="s">
        <v>69</v>
      </c>
      <c r="F107" t="s">
        <v>55</v>
      </c>
      <c r="G107" t="s">
        <v>17</v>
      </c>
      <c r="H107">
        <v>26</v>
      </c>
      <c r="I107" t="s">
        <v>50</v>
      </c>
      <c r="J107">
        <v>5.89</v>
      </c>
      <c r="K107" t="s">
        <v>34</v>
      </c>
      <c r="L107" t="s">
        <v>65</v>
      </c>
    </row>
    <row r="108" spans="1:12" x14ac:dyDescent="0.25">
      <c r="A108" s="1">
        <v>45726</v>
      </c>
      <c r="B108" t="s">
        <v>167</v>
      </c>
      <c r="C108" t="s">
        <v>36</v>
      </c>
      <c r="D108" t="s">
        <v>37</v>
      </c>
      <c r="E108" t="s">
        <v>49</v>
      </c>
      <c r="F108" t="s">
        <v>25</v>
      </c>
      <c r="G108" t="s">
        <v>26</v>
      </c>
      <c r="H108">
        <v>180</v>
      </c>
      <c r="I108" t="s">
        <v>18</v>
      </c>
      <c r="J108">
        <v>5.29</v>
      </c>
      <c r="K108" t="s">
        <v>19</v>
      </c>
      <c r="L108" t="s">
        <v>70</v>
      </c>
    </row>
    <row r="109" spans="1:12" x14ac:dyDescent="0.25">
      <c r="A109" s="1">
        <v>45681</v>
      </c>
      <c r="B109" t="s">
        <v>168</v>
      </c>
      <c r="C109" t="s">
        <v>62</v>
      </c>
      <c r="D109" t="s">
        <v>37</v>
      </c>
      <c r="E109" t="s">
        <v>54</v>
      </c>
      <c r="F109" t="s">
        <v>25</v>
      </c>
      <c r="G109" t="s">
        <v>26</v>
      </c>
      <c r="H109">
        <v>156</v>
      </c>
      <c r="I109" t="s">
        <v>18</v>
      </c>
      <c r="J109">
        <v>5.62</v>
      </c>
      <c r="K109" t="s">
        <v>34</v>
      </c>
      <c r="L109" t="s">
        <v>43</v>
      </c>
    </row>
    <row r="110" spans="1:12" x14ac:dyDescent="0.25">
      <c r="A110" s="1">
        <v>45690</v>
      </c>
      <c r="B110" t="s">
        <v>169</v>
      </c>
      <c r="C110" t="s">
        <v>62</v>
      </c>
      <c r="D110" t="s">
        <v>37</v>
      </c>
      <c r="E110" t="s">
        <v>24</v>
      </c>
      <c r="F110" t="s">
        <v>31</v>
      </c>
      <c r="G110" t="s">
        <v>26</v>
      </c>
      <c r="H110">
        <v>34</v>
      </c>
      <c r="I110" t="s">
        <v>27</v>
      </c>
      <c r="J110">
        <v>1.06</v>
      </c>
      <c r="K110" t="s">
        <v>19</v>
      </c>
      <c r="L110" t="s">
        <v>60</v>
      </c>
    </row>
    <row r="111" spans="1:12" x14ac:dyDescent="0.25">
      <c r="A111" s="1">
        <v>45661</v>
      </c>
      <c r="B111" t="s">
        <v>170</v>
      </c>
      <c r="C111" t="s">
        <v>36</v>
      </c>
      <c r="D111" t="s">
        <v>37</v>
      </c>
      <c r="E111" t="s">
        <v>49</v>
      </c>
      <c r="F111" t="s">
        <v>67</v>
      </c>
      <c r="G111" t="s">
        <v>17</v>
      </c>
      <c r="H111">
        <v>175</v>
      </c>
      <c r="I111" t="s">
        <v>18</v>
      </c>
      <c r="J111">
        <v>6.41</v>
      </c>
      <c r="K111" t="s">
        <v>34</v>
      </c>
      <c r="L111" t="s">
        <v>124</v>
      </c>
    </row>
    <row r="112" spans="1:12" x14ac:dyDescent="0.25">
      <c r="A112" s="1">
        <v>45674</v>
      </c>
      <c r="B112" t="s">
        <v>171</v>
      </c>
      <c r="C112" t="s">
        <v>30</v>
      </c>
      <c r="D112" t="s">
        <v>14</v>
      </c>
      <c r="E112" t="s">
        <v>24</v>
      </c>
      <c r="F112" t="s">
        <v>16</v>
      </c>
      <c r="G112" t="s">
        <v>17</v>
      </c>
      <c r="H112">
        <v>21</v>
      </c>
      <c r="I112" t="s">
        <v>50</v>
      </c>
      <c r="J112">
        <v>1.17</v>
      </c>
      <c r="K112" t="s">
        <v>34</v>
      </c>
      <c r="L112" t="s">
        <v>28</v>
      </c>
    </row>
    <row r="113" spans="1:12" x14ac:dyDescent="0.25">
      <c r="A113" s="1">
        <v>45698</v>
      </c>
      <c r="B113" t="s">
        <v>172</v>
      </c>
      <c r="C113" t="s">
        <v>98</v>
      </c>
      <c r="D113" t="s">
        <v>37</v>
      </c>
      <c r="E113" t="s">
        <v>15</v>
      </c>
      <c r="F113" t="s">
        <v>16</v>
      </c>
      <c r="G113" t="s">
        <v>17</v>
      </c>
      <c r="H113">
        <v>142</v>
      </c>
      <c r="I113" t="s">
        <v>18</v>
      </c>
      <c r="J113">
        <v>2.52</v>
      </c>
      <c r="K113" t="s">
        <v>34</v>
      </c>
      <c r="L113" t="s">
        <v>70</v>
      </c>
    </row>
    <row r="114" spans="1:12" x14ac:dyDescent="0.25">
      <c r="A114" s="1">
        <v>45691</v>
      </c>
      <c r="B114" t="s">
        <v>173</v>
      </c>
      <c r="C114" t="s">
        <v>41</v>
      </c>
      <c r="D114" t="s">
        <v>37</v>
      </c>
      <c r="E114" t="s">
        <v>38</v>
      </c>
      <c r="F114" t="s">
        <v>42</v>
      </c>
      <c r="G114" t="s">
        <v>17</v>
      </c>
      <c r="H114">
        <v>126</v>
      </c>
      <c r="I114" t="s">
        <v>18</v>
      </c>
      <c r="J114">
        <v>1.9</v>
      </c>
      <c r="K114" t="s">
        <v>32</v>
      </c>
      <c r="L114" t="s">
        <v>47</v>
      </c>
    </row>
    <row r="115" spans="1:12" x14ac:dyDescent="0.25">
      <c r="A115" s="1">
        <v>45706</v>
      </c>
      <c r="B115" t="s">
        <v>174</v>
      </c>
      <c r="C115" t="s">
        <v>57</v>
      </c>
      <c r="D115" t="s">
        <v>37</v>
      </c>
      <c r="E115" t="s">
        <v>54</v>
      </c>
      <c r="F115" t="s">
        <v>31</v>
      </c>
      <c r="G115" t="s">
        <v>26</v>
      </c>
      <c r="H115">
        <v>179</v>
      </c>
      <c r="I115" t="s">
        <v>18</v>
      </c>
      <c r="J115">
        <v>3.24</v>
      </c>
      <c r="K115" t="s">
        <v>34</v>
      </c>
      <c r="L115" t="s">
        <v>51</v>
      </c>
    </row>
    <row r="116" spans="1:12" x14ac:dyDescent="0.25">
      <c r="A116" s="1">
        <v>45698</v>
      </c>
      <c r="B116" t="s">
        <v>175</v>
      </c>
      <c r="C116" t="s">
        <v>36</v>
      </c>
      <c r="D116" t="s">
        <v>37</v>
      </c>
      <c r="E116" t="s">
        <v>24</v>
      </c>
      <c r="F116" t="s">
        <v>42</v>
      </c>
      <c r="G116" t="s">
        <v>17</v>
      </c>
      <c r="H116">
        <v>110</v>
      </c>
      <c r="I116" t="s">
        <v>18</v>
      </c>
      <c r="J116">
        <v>1.1499999999999999</v>
      </c>
      <c r="K116" t="s">
        <v>32</v>
      </c>
      <c r="L116" t="s">
        <v>79</v>
      </c>
    </row>
    <row r="117" spans="1:12" x14ac:dyDescent="0.25">
      <c r="A117" s="1">
        <v>45720</v>
      </c>
      <c r="B117" t="s">
        <v>176</v>
      </c>
      <c r="C117" t="s">
        <v>13</v>
      </c>
      <c r="D117" t="s">
        <v>14</v>
      </c>
      <c r="E117" t="s">
        <v>54</v>
      </c>
      <c r="F117" t="s">
        <v>16</v>
      </c>
      <c r="G117" t="s">
        <v>17</v>
      </c>
      <c r="H117">
        <v>37</v>
      </c>
      <c r="I117" t="s">
        <v>27</v>
      </c>
      <c r="J117">
        <v>3.58</v>
      </c>
      <c r="K117" t="s">
        <v>19</v>
      </c>
      <c r="L117" t="s">
        <v>79</v>
      </c>
    </row>
    <row r="118" spans="1:12" x14ac:dyDescent="0.25">
      <c r="A118" s="1">
        <v>45717</v>
      </c>
      <c r="B118" t="s">
        <v>177</v>
      </c>
      <c r="C118" t="s">
        <v>53</v>
      </c>
      <c r="D118" t="s">
        <v>37</v>
      </c>
      <c r="E118" t="s">
        <v>54</v>
      </c>
      <c r="F118" t="s">
        <v>31</v>
      </c>
      <c r="G118" t="s">
        <v>26</v>
      </c>
      <c r="H118">
        <v>163</v>
      </c>
      <c r="I118" t="s">
        <v>18</v>
      </c>
      <c r="J118">
        <v>1.9</v>
      </c>
      <c r="K118" t="s">
        <v>19</v>
      </c>
      <c r="L118" t="s">
        <v>39</v>
      </c>
    </row>
    <row r="119" spans="1:12" x14ac:dyDescent="0.25">
      <c r="A119" s="1">
        <v>45695</v>
      </c>
      <c r="B119" t="s">
        <v>178</v>
      </c>
      <c r="C119" t="s">
        <v>45</v>
      </c>
      <c r="D119" t="s">
        <v>46</v>
      </c>
      <c r="E119" t="s">
        <v>38</v>
      </c>
      <c r="F119" t="s">
        <v>16</v>
      </c>
      <c r="G119" t="s">
        <v>17</v>
      </c>
      <c r="H119">
        <v>148</v>
      </c>
      <c r="I119" t="s">
        <v>18</v>
      </c>
      <c r="J119">
        <v>3.49</v>
      </c>
      <c r="K119" t="s">
        <v>19</v>
      </c>
      <c r="L119" t="s">
        <v>39</v>
      </c>
    </row>
    <row r="120" spans="1:12" x14ac:dyDescent="0.25">
      <c r="A120" s="1">
        <v>45703</v>
      </c>
      <c r="B120" t="s">
        <v>179</v>
      </c>
      <c r="C120" t="s">
        <v>36</v>
      </c>
      <c r="D120" t="s">
        <v>37</v>
      </c>
      <c r="E120" t="s">
        <v>69</v>
      </c>
      <c r="F120" t="s">
        <v>42</v>
      </c>
      <c r="G120" t="s">
        <v>17</v>
      </c>
      <c r="H120">
        <v>140</v>
      </c>
      <c r="I120" t="s">
        <v>18</v>
      </c>
      <c r="J120">
        <v>5.94</v>
      </c>
      <c r="K120" t="s">
        <v>19</v>
      </c>
      <c r="L120" t="s">
        <v>51</v>
      </c>
    </row>
    <row r="121" spans="1:12" x14ac:dyDescent="0.25">
      <c r="A121" s="1">
        <v>45729</v>
      </c>
      <c r="B121" t="s">
        <v>180</v>
      </c>
      <c r="C121" t="s">
        <v>41</v>
      </c>
      <c r="D121" t="s">
        <v>37</v>
      </c>
      <c r="E121" t="s">
        <v>49</v>
      </c>
      <c r="F121" t="s">
        <v>31</v>
      </c>
      <c r="G121" t="s">
        <v>26</v>
      </c>
      <c r="H121">
        <v>109</v>
      </c>
      <c r="I121" t="s">
        <v>18</v>
      </c>
      <c r="J121">
        <v>6.47</v>
      </c>
      <c r="K121" t="s">
        <v>34</v>
      </c>
      <c r="L121" t="s">
        <v>79</v>
      </c>
    </row>
    <row r="122" spans="1:12" x14ac:dyDescent="0.25">
      <c r="A122" s="1">
        <v>45724</v>
      </c>
      <c r="B122" t="s">
        <v>181</v>
      </c>
      <c r="C122" t="s">
        <v>36</v>
      </c>
      <c r="D122" t="s">
        <v>37</v>
      </c>
      <c r="E122" t="s">
        <v>24</v>
      </c>
      <c r="F122" t="s">
        <v>55</v>
      </c>
      <c r="G122" t="s">
        <v>17</v>
      </c>
      <c r="H122">
        <v>77</v>
      </c>
      <c r="I122" t="s">
        <v>27</v>
      </c>
      <c r="J122">
        <v>2.79</v>
      </c>
      <c r="K122" t="s">
        <v>34</v>
      </c>
      <c r="L122" t="s">
        <v>60</v>
      </c>
    </row>
    <row r="123" spans="1:12" x14ac:dyDescent="0.25">
      <c r="A123" s="1">
        <v>45714</v>
      </c>
      <c r="B123" t="s">
        <v>182</v>
      </c>
      <c r="C123" t="s">
        <v>13</v>
      </c>
      <c r="D123" t="s">
        <v>14</v>
      </c>
      <c r="E123" t="s">
        <v>24</v>
      </c>
      <c r="F123" t="s">
        <v>31</v>
      </c>
      <c r="G123" t="s">
        <v>26</v>
      </c>
      <c r="H123">
        <v>99</v>
      </c>
      <c r="I123" t="s">
        <v>18</v>
      </c>
      <c r="J123">
        <v>1.17</v>
      </c>
      <c r="K123" t="s">
        <v>32</v>
      </c>
      <c r="L123" t="s">
        <v>39</v>
      </c>
    </row>
    <row r="124" spans="1:12" x14ac:dyDescent="0.25">
      <c r="A124" s="1">
        <v>45675</v>
      </c>
      <c r="B124" t="s">
        <v>183</v>
      </c>
      <c r="C124" t="s">
        <v>62</v>
      </c>
      <c r="D124" t="s">
        <v>37</v>
      </c>
      <c r="E124" t="s">
        <v>49</v>
      </c>
      <c r="F124" t="s">
        <v>31</v>
      </c>
      <c r="G124" t="s">
        <v>26</v>
      </c>
      <c r="H124">
        <v>110</v>
      </c>
      <c r="I124" t="s">
        <v>18</v>
      </c>
      <c r="J124">
        <v>2.0099999999999998</v>
      </c>
      <c r="K124" t="s">
        <v>34</v>
      </c>
      <c r="L124" t="s">
        <v>124</v>
      </c>
    </row>
    <row r="125" spans="1:12" x14ac:dyDescent="0.25">
      <c r="A125" s="1">
        <v>45719</v>
      </c>
      <c r="B125" t="s">
        <v>184</v>
      </c>
      <c r="C125" t="s">
        <v>57</v>
      </c>
      <c r="D125" t="s">
        <v>37</v>
      </c>
      <c r="E125" t="s">
        <v>69</v>
      </c>
      <c r="F125" t="s">
        <v>42</v>
      </c>
      <c r="G125" t="s">
        <v>17</v>
      </c>
      <c r="H125">
        <v>138</v>
      </c>
      <c r="I125" t="s">
        <v>18</v>
      </c>
      <c r="J125">
        <v>4.97</v>
      </c>
      <c r="K125" t="s">
        <v>32</v>
      </c>
      <c r="L125" t="s">
        <v>39</v>
      </c>
    </row>
    <row r="126" spans="1:12" x14ac:dyDescent="0.25">
      <c r="A126" s="1">
        <v>45669</v>
      </c>
      <c r="B126" t="s">
        <v>185</v>
      </c>
      <c r="C126" t="s">
        <v>36</v>
      </c>
      <c r="D126" t="s">
        <v>37</v>
      </c>
      <c r="E126" t="s">
        <v>54</v>
      </c>
      <c r="F126" t="s">
        <v>31</v>
      </c>
      <c r="G126" t="s">
        <v>26</v>
      </c>
      <c r="H126">
        <v>95</v>
      </c>
      <c r="I126" t="s">
        <v>18</v>
      </c>
      <c r="J126">
        <v>1.86</v>
      </c>
      <c r="K126" t="s">
        <v>19</v>
      </c>
      <c r="L126" t="s">
        <v>28</v>
      </c>
    </row>
    <row r="127" spans="1:12" x14ac:dyDescent="0.25">
      <c r="A127" s="1">
        <v>45708</v>
      </c>
      <c r="B127" t="s">
        <v>186</v>
      </c>
      <c r="C127" t="s">
        <v>13</v>
      </c>
      <c r="D127" t="s">
        <v>14</v>
      </c>
      <c r="E127" t="s">
        <v>15</v>
      </c>
      <c r="F127" t="s">
        <v>67</v>
      </c>
      <c r="G127" t="s">
        <v>17</v>
      </c>
      <c r="H127">
        <v>58</v>
      </c>
      <c r="I127" t="s">
        <v>27</v>
      </c>
      <c r="J127">
        <v>3.79</v>
      </c>
      <c r="K127" t="s">
        <v>19</v>
      </c>
      <c r="L127" t="s">
        <v>39</v>
      </c>
    </row>
    <row r="128" spans="1:12" x14ac:dyDescent="0.25">
      <c r="A128" s="1">
        <v>45695</v>
      </c>
      <c r="B128" t="s">
        <v>187</v>
      </c>
      <c r="C128" t="s">
        <v>36</v>
      </c>
      <c r="D128" t="s">
        <v>37</v>
      </c>
      <c r="E128" t="s">
        <v>49</v>
      </c>
      <c r="F128" t="s">
        <v>42</v>
      </c>
      <c r="G128" t="s">
        <v>17</v>
      </c>
      <c r="H128">
        <v>58</v>
      </c>
      <c r="I128" t="s">
        <v>27</v>
      </c>
      <c r="J128">
        <v>3.59</v>
      </c>
      <c r="K128" t="s">
        <v>19</v>
      </c>
      <c r="L128" t="s">
        <v>20</v>
      </c>
    </row>
    <row r="129" spans="1:12" x14ac:dyDescent="0.25">
      <c r="A129" s="1">
        <v>45735</v>
      </c>
      <c r="B129" t="s">
        <v>188</v>
      </c>
      <c r="C129" t="s">
        <v>22</v>
      </c>
      <c r="D129" t="s">
        <v>23</v>
      </c>
      <c r="E129" t="s">
        <v>54</v>
      </c>
      <c r="F129" t="s">
        <v>55</v>
      </c>
      <c r="G129" t="s">
        <v>17</v>
      </c>
      <c r="H129">
        <v>161</v>
      </c>
      <c r="I129" t="s">
        <v>18</v>
      </c>
      <c r="J129">
        <v>1.21</v>
      </c>
      <c r="K129" t="s">
        <v>19</v>
      </c>
      <c r="L129" t="s">
        <v>70</v>
      </c>
    </row>
    <row r="130" spans="1:12" x14ac:dyDescent="0.25">
      <c r="A130" s="1">
        <v>45669</v>
      </c>
      <c r="B130" t="s">
        <v>189</v>
      </c>
      <c r="C130" t="s">
        <v>13</v>
      </c>
      <c r="D130" t="s">
        <v>14</v>
      </c>
      <c r="E130" t="s">
        <v>54</v>
      </c>
      <c r="F130" t="s">
        <v>25</v>
      </c>
      <c r="G130" t="s">
        <v>26</v>
      </c>
      <c r="H130">
        <v>109</v>
      </c>
      <c r="I130" t="s">
        <v>18</v>
      </c>
      <c r="J130">
        <v>5.09</v>
      </c>
      <c r="K130" t="s">
        <v>19</v>
      </c>
      <c r="L130" t="s">
        <v>60</v>
      </c>
    </row>
    <row r="131" spans="1:12" x14ac:dyDescent="0.25">
      <c r="A131" s="1">
        <v>45724</v>
      </c>
      <c r="B131" t="s">
        <v>190</v>
      </c>
      <c r="C131" t="s">
        <v>41</v>
      </c>
      <c r="D131" t="s">
        <v>37</v>
      </c>
      <c r="E131" t="s">
        <v>24</v>
      </c>
      <c r="F131" t="s">
        <v>55</v>
      </c>
      <c r="G131" t="s">
        <v>17</v>
      </c>
      <c r="H131">
        <v>14</v>
      </c>
      <c r="I131" t="s">
        <v>50</v>
      </c>
      <c r="J131">
        <v>6.08</v>
      </c>
      <c r="K131" t="s">
        <v>32</v>
      </c>
      <c r="L131" t="s">
        <v>51</v>
      </c>
    </row>
    <row r="132" spans="1:12" x14ac:dyDescent="0.25">
      <c r="A132" s="1">
        <v>45735</v>
      </c>
      <c r="B132" t="s">
        <v>191</v>
      </c>
      <c r="C132" t="s">
        <v>41</v>
      </c>
      <c r="D132" t="s">
        <v>37</v>
      </c>
      <c r="E132" t="s">
        <v>24</v>
      </c>
      <c r="F132" t="s">
        <v>31</v>
      </c>
      <c r="G132" t="s">
        <v>26</v>
      </c>
      <c r="H132">
        <v>7</v>
      </c>
      <c r="I132" t="s">
        <v>50</v>
      </c>
      <c r="J132">
        <v>3.47</v>
      </c>
      <c r="K132" t="s">
        <v>32</v>
      </c>
      <c r="L132" t="s">
        <v>20</v>
      </c>
    </row>
    <row r="133" spans="1:12" x14ac:dyDescent="0.25">
      <c r="A133" s="1">
        <v>45714</v>
      </c>
      <c r="B133" t="s">
        <v>192</v>
      </c>
      <c r="C133" t="s">
        <v>36</v>
      </c>
      <c r="D133" t="s">
        <v>37</v>
      </c>
      <c r="E133" t="s">
        <v>38</v>
      </c>
      <c r="F133" t="s">
        <v>67</v>
      </c>
      <c r="G133" t="s">
        <v>17</v>
      </c>
      <c r="H133">
        <v>121</v>
      </c>
      <c r="I133" t="s">
        <v>18</v>
      </c>
      <c r="J133">
        <v>6.11</v>
      </c>
      <c r="K133" t="s">
        <v>34</v>
      </c>
      <c r="L133" t="s">
        <v>58</v>
      </c>
    </row>
    <row r="134" spans="1:12" x14ac:dyDescent="0.25">
      <c r="A134" s="1">
        <v>45735</v>
      </c>
      <c r="B134" t="s">
        <v>193</v>
      </c>
      <c r="C134" t="s">
        <v>36</v>
      </c>
      <c r="D134" t="s">
        <v>37</v>
      </c>
      <c r="E134" t="s">
        <v>38</v>
      </c>
      <c r="F134" t="s">
        <v>55</v>
      </c>
      <c r="G134" t="s">
        <v>17</v>
      </c>
      <c r="H134">
        <v>72</v>
      </c>
      <c r="I134" t="s">
        <v>27</v>
      </c>
      <c r="J134">
        <v>5.53</v>
      </c>
      <c r="K134" t="s">
        <v>19</v>
      </c>
      <c r="L134" t="s">
        <v>58</v>
      </c>
    </row>
    <row r="135" spans="1:12" x14ac:dyDescent="0.25">
      <c r="A135" s="1">
        <v>45714</v>
      </c>
      <c r="B135" t="s">
        <v>194</v>
      </c>
      <c r="C135" t="s">
        <v>36</v>
      </c>
      <c r="D135" t="s">
        <v>37</v>
      </c>
      <c r="E135" t="s">
        <v>38</v>
      </c>
      <c r="F135" t="s">
        <v>31</v>
      </c>
      <c r="G135" t="s">
        <v>26</v>
      </c>
      <c r="H135">
        <v>26</v>
      </c>
      <c r="I135" t="s">
        <v>50</v>
      </c>
      <c r="J135">
        <v>1.66</v>
      </c>
      <c r="K135" t="s">
        <v>32</v>
      </c>
      <c r="L135" t="s">
        <v>70</v>
      </c>
    </row>
    <row r="136" spans="1:12" x14ac:dyDescent="0.25">
      <c r="A136" s="1">
        <v>45724</v>
      </c>
      <c r="B136" t="s">
        <v>195</v>
      </c>
      <c r="C136" t="s">
        <v>41</v>
      </c>
      <c r="D136" t="s">
        <v>37</v>
      </c>
      <c r="E136" t="s">
        <v>69</v>
      </c>
      <c r="F136" t="s">
        <v>55</v>
      </c>
      <c r="G136" t="s">
        <v>17</v>
      </c>
      <c r="H136">
        <v>80</v>
      </c>
      <c r="I136" t="s">
        <v>18</v>
      </c>
      <c r="J136">
        <v>4.88</v>
      </c>
      <c r="K136" t="s">
        <v>32</v>
      </c>
      <c r="L136" t="s">
        <v>51</v>
      </c>
    </row>
    <row r="137" spans="1:12" x14ac:dyDescent="0.25">
      <c r="A137" s="1">
        <v>45745</v>
      </c>
      <c r="B137" t="s">
        <v>196</v>
      </c>
      <c r="C137" t="s">
        <v>62</v>
      </c>
      <c r="D137" t="s">
        <v>37</v>
      </c>
      <c r="E137" t="s">
        <v>15</v>
      </c>
      <c r="F137" t="s">
        <v>16</v>
      </c>
      <c r="G137" t="s">
        <v>17</v>
      </c>
      <c r="H137">
        <v>180</v>
      </c>
      <c r="I137" t="s">
        <v>18</v>
      </c>
      <c r="J137">
        <v>3.73</v>
      </c>
      <c r="K137" t="s">
        <v>19</v>
      </c>
      <c r="L137" t="s">
        <v>70</v>
      </c>
    </row>
    <row r="138" spans="1:12" x14ac:dyDescent="0.25">
      <c r="A138" s="1">
        <v>45720</v>
      </c>
      <c r="B138" t="s">
        <v>197</v>
      </c>
      <c r="C138" t="s">
        <v>53</v>
      </c>
      <c r="D138" t="s">
        <v>37</v>
      </c>
      <c r="E138" t="s">
        <v>24</v>
      </c>
      <c r="F138" t="s">
        <v>25</v>
      </c>
      <c r="G138" t="s">
        <v>26</v>
      </c>
      <c r="H138">
        <v>33</v>
      </c>
      <c r="I138" t="s">
        <v>27</v>
      </c>
      <c r="J138">
        <v>2.27</v>
      </c>
      <c r="K138" t="s">
        <v>34</v>
      </c>
      <c r="L138" t="s">
        <v>82</v>
      </c>
    </row>
    <row r="139" spans="1:12" x14ac:dyDescent="0.25">
      <c r="A139" s="1">
        <v>45739</v>
      </c>
      <c r="B139" t="s">
        <v>198</v>
      </c>
      <c r="C139" t="s">
        <v>57</v>
      </c>
      <c r="D139" t="s">
        <v>37</v>
      </c>
      <c r="E139" t="s">
        <v>38</v>
      </c>
      <c r="F139" t="s">
        <v>67</v>
      </c>
      <c r="G139" t="s">
        <v>17</v>
      </c>
      <c r="H139">
        <v>14</v>
      </c>
      <c r="I139" t="s">
        <v>50</v>
      </c>
      <c r="J139">
        <v>1.7</v>
      </c>
      <c r="K139" t="s">
        <v>32</v>
      </c>
      <c r="L139" t="s">
        <v>70</v>
      </c>
    </row>
    <row r="140" spans="1:12" x14ac:dyDescent="0.25">
      <c r="A140" s="1">
        <v>45713</v>
      </c>
      <c r="B140" t="s">
        <v>199</v>
      </c>
      <c r="C140" t="s">
        <v>62</v>
      </c>
      <c r="D140" t="s">
        <v>37</v>
      </c>
      <c r="E140" t="s">
        <v>54</v>
      </c>
      <c r="F140" t="s">
        <v>25</v>
      </c>
      <c r="G140" t="s">
        <v>26</v>
      </c>
      <c r="H140">
        <v>80</v>
      </c>
      <c r="I140" t="s">
        <v>18</v>
      </c>
      <c r="J140">
        <v>4.3499999999999996</v>
      </c>
      <c r="K140" t="s">
        <v>32</v>
      </c>
      <c r="L140" t="s">
        <v>82</v>
      </c>
    </row>
    <row r="141" spans="1:12" x14ac:dyDescent="0.25">
      <c r="A141" s="1">
        <v>45742</v>
      </c>
      <c r="B141" t="s">
        <v>200</v>
      </c>
      <c r="C141" t="s">
        <v>36</v>
      </c>
      <c r="D141" t="s">
        <v>37</v>
      </c>
      <c r="E141" t="s">
        <v>49</v>
      </c>
      <c r="F141" t="s">
        <v>42</v>
      </c>
      <c r="G141" t="s">
        <v>17</v>
      </c>
      <c r="H141">
        <v>37</v>
      </c>
      <c r="I141" t="s">
        <v>27</v>
      </c>
      <c r="J141">
        <v>4.4800000000000004</v>
      </c>
      <c r="K141" t="s">
        <v>32</v>
      </c>
      <c r="L141" t="s">
        <v>60</v>
      </c>
    </row>
    <row r="142" spans="1:12" x14ac:dyDescent="0.25">
      <c r="A142" s="1">
        <v>45667</v>
      </c>
      <c r="B142" t="s">
        <v>201</v>
      </c>
      <c r="C142" t="s">
        <v>13</v>
      </c>
      <c r="D142" t="s">
        <v>14</v>
      </c>
      <c r="E142" t="s">
        <v>38</v>
      </c>
      <c r="F142" t="s">
        <v>25</v>
      </c>
      <c r="G142" t="s">
        <v>26</v>
      </c>
      <c r="H142">
        <v>117</v>
      </c>
      <c r="I142" t="s">
        <v>18</v>
      </c>
      <c r="J142">
        <v>2.4700000000000002</v>
      </c>
      <c r="K142" t="s">
        <v>34</v>
      </c>
      <c r="L142" t="s">
        <v>70</v>
      </c>
    </row>
    <row r="143" spans="1:12" x14ac:dyDescent="0.25">
      <c r="A143" s="1">
        <v>45731</v>
      </c>
      <c r="B143" t="s">
        <v>202</v>
      </c>
      <c r="C143" t="s">
        <v>57</v>
      </c>
      <c r="D143" t="s">
        <v>37</v>
      </c>
      <c r="E143" t="s">
        <v>49</v>
      </c>
      <c r="F143" t="s">
        <v>67</v>
      </c>
      <c r="G143" t="s">
        <v>17</v>
      </c>
      <c r="H143">
        <v>152</v>
      </c>
      <c r="I143" t="s">
        <v>18</v>
      </c>
      <c r="J143">
        <v>3.34</v>
      </c>
      <c r="K143" t="s">
        <v>32</v>
      </c>
      <c r="L143" t="s">
        <v>79</v>
      </c>
    </row>
    <row r="144" spans="1:12" x14ac:dyDescent="0.25">
      <c r="A144" s="1">
        <v>45686</v>
      </c>
      <c r="B144" t="s">
        <v>203</v>
      </c>
      <c r="C144" t="s">
        <v>57</v>
      </c>
      <c r="D144" t="s">
        <v>37</v>
      </c>
      <c r="E144" t="s">
        <v>15</v>
      </c>
      <c r="F144" t="s">
        <v>31</v>
      </c>
      <c r="G144" t="s">
        <v>26</v>
      </c>
      <c r="H144">
        <v>147</v>
      </c>
      <c r="I144" t="s">
        <v>18</v>
      </c>
      <c r="J144">
        <v>1.2</v>
      </c>
      <c r="K144" t="s">
        <v>34</v>
      </c>
      <c r="L144" t="s">
        <v>60</v>
      </c>
    </row>
    <row r="145" spans="1:12" x14ac:dyDescent="0.25">
      <c r="A145" s="1">
        <v>45670</v>
      </c>
      <c r="B145" t="s">
        <v>204</v>
      </c>
      <c r="C145" t="s">
        <v>41</v>
      </c>
      <c r="D145" t="s">
        <v>37</v>
      </c>
      <c r="E145" t="s">
        <v>24</v>
      </c>
      <c r="F145" t="s">
        <v>67</v>
      </c>
      <c r="G145" t="s">
        <v>17</v>
      </c>
      <c r="H145">
        <v>137</v>
      </c>
      <c r="I145" t="s">
        <v>18</v>
      </c>
      <c r="J145">
        <v>5.3</v>
      </c>
      <c r="K145" t="s">
        <v>19</v>
      </c>
      <c r="L145" t="s">
        <v>39</v>
      </c>
    </row>
    <row r="146" spans="1:12" x14ac:dyDescent="0.25">
      <c r="A146" s="1">
        <v>45719</v>
      </c>
      <c r="B146" t="s">
        <v>205</v>
      </c>
      <c r="C146" t="s">
        <v>30</v>
      </c>
      <c r="D146" t="s">
        <v>14</v>
      </c>
      <c r="E146" t="s">
        <v>54</v>
      </c>
      <c r="F146" t="s">
        <v>55</v>
      </c>
      <c r="G146" t="s">
        <v>17</v>
      </c>
      <c r="H146">
        <v>87</v>
      </c>
      <c r="I146" t="s">
        <v>18</v>
      </c>
      <c r="J146">
        <v>1.1299999999999999</v>
      </c>
      <c r="K146" t="s">
        <v>19</v>
      </c>
      <c r="L146" t="s">
        <v>70</v>
      </c>
    </row>
    <row r="147" spans="1:12" x14ac:dyDescent="0.25">
      <c r="A147" s="1">
        <v>45740</v>
      </c>
      <c r="B147" t="s">
        <v>206</v>
      </c>
      <c r="C147" t="s">
        <v>22</v>
      </c>
      <c r="D147" t="s">
        <v>23</v>
      </c>
      <c r="E147" t="s">
        <v>54</v>
      </c>
      <c r="F147" t="s">
        <v>67</v>
      </c>
      <c r="G147" t="s">
        <v>17</v>
      </c>
      <c r="H147">
        <v>60</v>
      </c>
      <c r="I147" t="s">
        <v>27</v>
      </c>
      <c r="J147">
        <v>2.5</v>
      </c>
      <c r="K147" t="s">
        <v>32</v>
      </c>
      <c r="L147" t="s">
        <v>47</v>
      </c>
    </row>
    <row r="148" spans="1:12" x14ac:dyDescent="0.25">
      <c r="A148" s="1">
        <v>45747</v>
      </c>
      <c r="B148" t="s">
        <v>207</v>
      </c>
      <c r="C148" t="s">
        <v>62</v>
      </c>
      <c r="D148" t="s">
        <v>37</v>
      </c>
      <c r="E148" t="s">
        <v>69</v>
      </c>
      <c r="F148" t="s">
        <v>16</v>
      </c>
      <c r="G148" t="s">
        <v>17</v>
      </c>
      <c r="H148">
        <v>34</v>
      </c>
      <c r="I148" t="s">
        <v>27</v>
      </c>
      <c r="J148">
        <v>4.46</v>
      </c>
      <c r="K148" t="s">
        <v>32</v>
      </c>
      <c r="L148" t="s">
        <v>47</v>
      </c>
    </row>
    <row r="149" spans="1:12" x14ac:dyDescent="0.25">
      <c r="A149" s="1">
        <v>45679</v>
      </c>
      <c r="B149" t="s">
        <v>208</v>
      </c>
      <c r="C149" t="s">
        <v>13</v>
      </c>
      <c r="D149" t="s">
        <v>14</v>
      </c>
      <c r="E149" t="s">
        <v>49</v>
      </c>
      <c r="F149" t="s">
        <v>42</v>
      </c>
      <c r="G149" t="s">
        <v>17</v>
      </c>
      <c r="H149">
        <v>149</v>
      </c>
      <c r="I149" t="s">
        <v>18</v>
      </c>
      <c r="J149">
        <v>2.56</v>
      </c>
      <c r="K149" t="s">
        <v>19</v>
      </c>
      <c r="L149" t="s">
        <v>47</v>
      </c>
    </row>
    <row r="150" spans="1:12" x14ac:dyDescent="0.25">
      <c r="A150" s="1">
        <v>45674</v>
      </c>
      <c r="B150" t="s">
        <v>209</v>
      </c>
      <c r="C150" t="s">
        <v>53</v>
      </c>
      <c r="D150" t="s">
        <v>37</v>
      </c>
      <c r="E150" t="s">
        <v>49</v>
      </c>
      <c r="F150" t="s">
        <v>67</v>
      </c>
      <c r="G150" t="s">
        <v>17</v>
      </c>
      <c r="H150">
        <v>102</v>
      </c>
      <c r="I150" t="s">
        <v>18</v>
      </c>
      <c r="J150">
        <v>3.33</v>
      </c>
      <c r="K150" t="s">
        <v>19</v>
      </c>
      <c r="L150" t="s">
        <v>82</v>
      </c>
    </row>
    <row r="151" spans="1:12" x14ac:dyDescent="0.25">
      <c r="A151" s="1">
        <v>45675</v>
      </c>
      <c r="B151" t="s">
        <v>210</v>
      </c>
      <c r="C151" t="s">
        <v>57</v>
      </c>
      <c r="D151" t="s">
        <v>37</v>
      </c>
      <c r="E151" t="s">
        <v>69</v>
      </c>
      <c r="F151" t="s">
        <v>67</v>
      </c>
      <c r="G151" t="s">
        <v>17</v>
      </c>
      <c r="H151">
        <v>72</v>
      </c>
      <c r="I151" t="s">
        <v>27</v>
      </c>
      <c r="J151">
        <v>2.8</v>
      </c>
      <c r="K151" t="s">
        <v>34</v>
      </c>
      <c r="L151" t="s">
        <v>58</v>
      </c>
    </row>
    <row r="152" spans="1:12" x14ac:dyDescent="0.25">
      <c r="A152" s="1">
        <v>45683</v>
      </c>
      <c r="B152" t="s">
        <v>211</v>
      </c>
      <c r="C152" t="s">
        <v>57</v>
      </c>
      <c r="D152" t="s">
        <v>37</v>
      </c>
      <c r="E152" t="s">
        <v>38</v>
      </c>
      <c r="F152" t="s">
        <v>67</v>
      </c>
      <c r="G152" t="s">
        <v>17</v>
      </c>
      <c r="H152">
        <v>71</v>
      </c>
      <c r="I152" t="s">
        <v>27</v>
      </c>
      <c r="J152">
        <v>2.5499999999999998</v>
      </c>
      <c r="K152" t="s">
        <v>32</v>
      </c>
      <c r="L152" t="s">
        <v>58</v>
      </c>
    </row>
    <row r="153" spans="1:12" x14ac:dyDescent="0.25">
      <c r="A153" s="1">
        <v>45715</v>
      </c>
      <c r="B153" t="s">
        <v>212</v>
      </c>
      <c r="C153" t="s">
        <v>30</v>
      </c>
      <c r="D153" t="s">
        <v>14</v>
      </c>
      <c r="E153" t="s">
        <v>49</v>
      </c>
      <c r="F153" t="s">
        <v>25</v>
      </c>
      <c r="G153" t="s">
        <v>26</v>
      </c>
      <c r="H153">
        <v>166</v>
      </c>
      <c r="I153" t="s">
        <v>18</v>
      </c>
      <c r="J153">
        <v>5.82</v>
      </c>
      <c r="K153" t="s">
        <v>34</v>
      </c>
      <c r="L153" t="s">
        <v>95</v>
      </c>
    </row>
    <row r="154" spans="1:12" x14ac:dyDescent="0.25">
      <c r="A154" s="1">
        <v>45694</v>
      </c>
      <c r="B154" t="s">
        <v>213</v>
      </c>
      <c r="C154" t="s">
        <v>41</v>
      </c>
      <c r="D154" t="s">
        <v>37</v>
      </c>
      <c r="E154" t="s">
        <v>69</v>
      </c>
      <c r="F154" t="s">
        <v>42</v>
      </c>
      <c r="G154" t="s">
        <v>17</v>
      </c>
      <c r="H154">
        <v>35</v>
      </c>
      <c r="I154" t="s">
        <v>27</v>
      </c>
      <c r="J154">
        <v>3.35</v>
      </c>
      <c r="K154" t="s">
        <v>19</v>
      </c>
      <c r="L154" t="s">
        <v>79</v>
      </c>
    </row>
    <row r="155" spans="1:12" x14ac:dyDescent="0.25">
      <c r="A155" s="1">
        <v>45700</v>
      </c>
      <c r="B155" t="s">
        <v>214</v>
      </c>
      <c r="C155" t="s">
        <v>45</v>
      </c>
      <c r="D155" t="s">
        <v>46</v>
      </c>
      <c r="E155" t="s">
        <v>24</v>
      </c>
      <c r="F155" t="s">
        <v>67</v>
      </c>
      <c r="G155" t="s">
        <v>17</v>
      </c>
      <c r="H155">
        <v>167</v>
      </c>
      <c r="I155" t="s">
        <v>18</v>
      </c>
      <c r="J155">
        <v>6.06</v>
      </c>
      <c r="K155" t="s">
        <v>32</v>
      </c>
      <c r="L155" t="s">
        <v>79</v>
      </c>
    </row>
    <row r="156" spans="1:12" x14ac:dyDescent="0.25">
      <c r="A156" s="1">
        <v>45732</v>
      </c>
      <c r="B156" t="s">
        <v>215</v>
      </c>
      <c r="C156" t="s">
        <v>41</v>
      </c>
      <c r="D156" t="s">
        <v>37</v>
      </c>
      <c r="E156" t="s">
        <v>24</v>
      </c>
      <c r="F156" t="s">
        <v>67</v>
      </c>
      <c r="G156" t="s">
        <v>17</v>
      </c>
      <c r="H156">
        <v>8</v>
      </c>
      <c r="I156" t="s">
        <v>50</v>
      </c>
      <c r="J156">
        <v>3.53</v>
      </c>
      <c r="K156" t="s">
        <v>19</v>
      </c>
      <c r="L156" t="s">
        <v>39</v>
      </c>
    </row>
    <row r="157" spans="1:12" x14ac:dyDescent="0.25">
      <c r="A157" s="1">
        <v>45707</v>
      </c>
      <c r="B157" t="s">
        <v>216</v>
      </c>
      <c r="C157" t="s">
        <v>98</v>
      </c>
      <c r="D157" t="s">
        <v>37</v>
      </c>
      <c r="E157" t="s">
        <v>38</v>
      </c>
      <c r="F157" t="s">
        <v>25</v>
      </c>
      <c r="G157" t="s">
        <v>26</v>
      </c>
      <c r="H157">
        <v>124</v>
      </c>
      <c r="I157" t="s">
        <v>18</v>
      </c>
      <c r="J157">
        <v>5.49</v>
      </c>
      <c r="K157" t="s">
        <v>19</v>
      </c>
      <c r="L157" t="s">
        <v>95</v>
      </c>
    </row>
    <row r="158" spans="1:12" x14ac:dyDescent="0.25">
      <c r="A158" s="1">
        <v>45675</v>
      </c>
      <c r="B158" t="s">
        <v>217</v>
      </c>
      <c r="C158" t="s">
        <v>98</v>
      </c>
      <c r="D158" t="s">
        <v>37</v>
      </c>
      <c r="E158" t="s">
        <v>69</v>
      </c>
      <c r="F158" t="s">
        <v>67</v>
      </c>
      <c r="G158" t="s">
        <v>17</v>
      </c>
      <c r="H158">
        <v>25</v>
      </c>
      <c r="I158" t="s">
        <v>50</v>
      </c>
      <c r="J158">
        <v>4.0999999999999996</v>
      </c>
      <c r="K158" t="s">
        <v>19</v>
      </c>
      <c r="L158" t="s">
        <v>82</v>
      </c>
    </row>
    <row r="159" spans="1:12" x14ac:dyDescent="0.25">
      <c r="A159" s="1">
        <v>45742</v>
      </c>
      <c r="B159" t="s">
        <v>218</v>
      </c>
      <c r="C159" t="s">
        <v>62</v>
      </c>
      <c r="D159" t="s">
        <v>37</v>
      </c>
      <c r="E159" t="s">
        <v>54</v>
      </c>
      <c r="F159" t="s">
        <v>55</v>
      </c>
      <c r="G159" t="s">
        <v>17</v>
      </c>
      <c r="H159">
        <v>179</v>
      </c>
      <c r="I159" t="s">
        <v>18</v>
      </c>
      <c r="J159">
        <v>5.44</v>
      </c>
      <c r="K159" t="s">
        <v>32</v>
      </c>
      <c r="L159" t="s">
        <v>82</v>
      </c>
    </row>
    <row r="160" spans="1:12" x14ac:dyDescent="0.25">
      <c r="A160" s="1">
        <v>45683</v>
      </c>
      <c r="B160" t="s">
        <v>219</v>
      </c>
      <c r="C160" t="s">
        <v>53</v>
      </c>
      <c r="D160" t="s">
        <v>37</v>
      </c>
      <c r="E160" t="s">
        <v>54</v>
      </c>
      <c r="F160" t="s">
        <v>42</v>
      </c>
      <c r="G160" t="s">
        <v>17</v>
      </c>
      <c r="H160">
        <v>52</v>
      </c>
      <c r="I160" t="s">
        <v>27</v>
      </c>
      <c r="J160">
        <v>5.66</v>
      </c>
      <c r="K160" t="s">
        <v>19</v>
      </c>
      <c r="L160" t="s">
        <v>51</v>
      </c>
    </row>
    <row r="161" spans="1:12" x14ac:dyDescent="0.25">
      <c r="A161" s="1">
        <v>45732</v>
      </c>
      <c r="B161" t="s">
        <v>220</v>
      </c>
      <c r="C161" t="s">
        <v>30</v>
      </c>
      <c r="D161" t="s">
        <v>14</v>
      </c>
      <c r="E161" t="s">
        <v>69</v>
      </c>
      <c r="F161" t="s">
        <v>25</v>
      </c>
      <c r="G161" t="s">
        <v>26</v>
      </c>
      <c r="H161">
        <v>58</v>
      </c>
      <c r="I161" t="s">
        <v>27</v>
      </c>
      <c r="J161">
        <v>3.78</v>
      </c>
      <c r="K161" t="s">
        <v>19</v>
      </c>
      <c r="L161" t="s">
        <v>65</v>
      </c>
    </row>
    <row r="162" spans="1:12" x14ac:dyDescent="0.25">
      <c r="A162" s="1">
        <v>45666</v>
      </c>
      <c r="B162" t="s">
        <v>221</v>
      </c>
      <c r="C162" t="s">
        <v>62</v>
      </c>
      <c r="D162" t="s">
        <v>37</v>
      </c>
      <c r="E162" t="s">
        <v>38</v>
      </c>
      <c r="F162" t="s">
        <v>16</v>
      </c>
      <c r="G162" t="s">
        <v>17</v>
      </c>
      <c r="H162">
        <v>62</v>
      </c>
      <c r="I162" t="s">
        <v>27</v>
      </c>
      <c r="J162">
        <v>2.66</v>
      </c>
      <c r="K162" t="s">
        <v>32</v>
      </c>
      <c r="L162" t="s">
        <v>43</v>
      </c>
    </row>
    <row r="163" spans="1:12" x14ac:dyDescent="0.25">
      <c r="A163" s="1">
        <v>45687</v>
      </c>
      <c r="B163" t="s">
        <v>222</v>
      </c>
      <c r="C163" t="s">
        <v>36</v>
      </c>
      <c r="D163" t="s">
        <v>37</v>
      </c>
      <c r="E163" t="s">
        <v>38</v>
      </c>
      <c r="F163" t="s">
        <v>25</v>
      </c>
      <c r="G163" t="s">
        <v>26</v>
      </c>
      <c r="H163">
        <v>174</v>
      </c>
      <c r="I163" t="s">
        <v>18</v>
      </c>
      <c r="J163">
        <v>5.92</v>
      </c>
      <c r="K163" t="s">
        <v>19</v>
      </c>
      <c r="L163" t="s">
        <v>20</v>
      </c>
    </row>
    <row r="164" spans="1:12" x14ac:dyDescent="0.25">
      <c r="A164" s="1">
        <v>45700</v>
      </c>
      <c r="B164" t="s">
        <v>223</v>
      </c>
      <c r="C164" t="s">
        <v>41</v>
      </c>
      <c r="D164" t="s">
        <v>37</v>
      </c>
      <c r="E164" t="s">
        <v>15</v>
      </c>
      <c r="F164" t="s">
        <v>42</v>
      </c>
      <c r="G164" t="s">
        <v>17</v>
      </c>
      <c r="H164">
        <v>159</v>
      </c>
      <c r="I164" t="s">
        <v>18</v>
      </c>
      <c r="J164">
        <v>3.59</v>
      </c>
      <c r="K164" t="s">
        <v>32</v>
      </c>
      <c r="L164" t="s">
        <v>28</v>
      </c>
    </row>
    <row r="165" spans="1:12" x14ac:dyDescent="0.25">
      <c r="A165" s="1">
        <v>45658</v>
      </c>
      <c r="B165" t="s">
        <v>224</v>
      </c>
      <c r="C165" t="s">
        <v>57</v>
      </c>
      <c r="D165" t="s">
        <v>37</v>
      </c>
      <c r="E165" t="s">
        <v>54</v>
      </c>
      <c r="F165" t="s">
        <v>67</v>
      </c>
      <c r="G165" t="s">
        <v>17</v>
      </c>
      <c r="H165">
        <v>153</v>
      </c>
      <c r="I165" t="s">
        <v>18</v>
      </c>
      <c r="J165">
        <v>5.25</v>
      </c>
      <c r="K165" t="s">
        <v>34</v>
      </c>
      <c r="L165" t="s">
        <v>124</v>
      </c>
    </row>
    <row r="166" spans="1:12" x14ac:dyDescent="0.25">
      <c r="A166" s="1">
        <v>45696</v>
      </c>
      <c r="B166" t="s">
        <v>225</v>
      </c>
      <c r="C166" t="s">
        <v>13</v>
      </c>
      <c r="D166" t="s">
        <v>14</v>
      </c>
      <c r="E166" t="s">
        <v>38</v>
      </c>
      <c r="F166" t="s">
        <v>31</v>
      </c>
      <c r="G166" t="s">
        <v>26</v>
      </c>
      <c r="H166">
        <v>92</v>
      </c>
      <c r="I166" t="s">
        <v>18</v>
      </c>
      <c r="J166">
        <v>1.75</v>
      </c>
      <c r="K166" t="s">
        <v>19</v>
      </c>
      <c r="L166" t="s">
        <v>128</v>
      </c>
    </row>
    <row r="167" spans="1:12" x14ac:dyDescent="0.25">
      <c r="A167" s="1">
        <v>45741</v>
      </c>
      <c r="B167" t="s">
        <v>226</v>
      </c>
      <c r="C167" t="s">
        <v>13</v>
      </c>
      <c r="D167" t="s">
        <v>14</v>
      </c>
      <c r="E167" t="s">
        <v>38</v>
      </c>
      <c r="F167" t="s">
        <v>25</v>
      </c>
      <c r="G167" t="s">
        <v>26</v>
      </c>
      <c r="H167">
        <v>110</v>
      </c>
      <c r="I167" t="s">
        <v>18</v>
      </c>
      <c r="J167">
        <v>5.97</v>
      </c>
      <c r="K167" t="s">
        <v>32</v>
      </c>
      <c r="L167" t="s">
        <v>28</v>
      </c>
    </row>
    <row r="168" spans="1:12" x14ac:dyDescent="0.25">
      <c r="A168" s="1">
        <v>45746</v>
      </c>
      <c r="B168" t="s">
        <v>227</v>
      </c>
      <c r="C168" t="s">
        <v>36</v>
      </c>
      <c r="D168" t="s">
        <v>37</v>
      </c>
      <c r="E168" t="s">
        <v>69</v>
      </c>
      <c r="F168" t="s">
        <v>55</v>
      </c>
      <c r="G168" t="s">
        <v>17</v>
      </c>
      <c r="H168">
        <v>91</v>
      </c>
      <c r="I168" t="s">
        <v>18</v>
      </c>
      <c r="J168">
        <v>6.38</v>
      </c>
      <c r="K168" t="s">
        <v>32</v>
      </c>
      <c r="L168" t="s">
        <v>47</v>
      </c>
    </row>
    <row r="169" spans="1:12" x14ac:dyDescent="0.25">
      <c r="A169" s="1">
        <v>45699</v>
      </c>
      <c r="B169" t="s">
        <v>228</v>
      </c>
      <c r="C169" t="s">
        <v>45</v>
      </c>
      <c r="D169" t="s">
        <v>46</v>
      </c>
      <c r="E169" t="s">
        <v>24</v>
      </c>
      <c r="F169" t="s">
        <v>67</v>
      </c>
      <c r="G169" t="s">
        <v>17</v>
      </c>
      <c r="H169">
        <v>149</v>
      </c>
      <c r="I169" t="s">
        <v>18</v>
      </c>
      <c r="J169">
        <v>3.22</v>
      </c>
      <c r="K169" t="s">
        <v>34</v>
      </c>
      <c r="L169" t="s">
        <v>60</v>
      </c>
    </row>
    <row r="170" spans="1:12" x14ac:dyDescent="0.25">
      <c r="A170" s="1">
        <v>45727</v>
      </c>
      <c r="B170" t="s">
        <v>229</v>
      </c>
      <c r="C170" t="s">
        <v>30</v>
      </c>
      <c r="D170" t="s">
        <v>14</v>
      </c>
      <c r="E170" t="s">
        <v>54</v>
      </c>
      <c r="F170" t="s">
        <v>67</v>
      </c>
      <c r="G170" t="s">
        <v>17</v>
      </c>
      <c r="H170">
        <v>85</v>
      </c>
      <c r="I170" t="s">
        <v>18</v>
      </c>
      <c r="J170">
        <v>5.44</v>
      </c>
      <c r="K170" t="s">
        <v>32</v>
      </c>
      <c r="L170" t="s">
        <v>95</v>
      </c>
    </row>
    <row r="171" spans="1:12" x14ac:dyDescent="0.25">
      <c r="A171" s="1">
        <v>45703</v>
      </c>
      <c r="B171" t="s">
        <v>230</v>
      </c>
      <c r="C171" t="s">
        <v>22</v>
      </c>
      <c r="D171" t="s">
        <v>23</v>
      </c>
      <c r="E171" t="s">
        <v>15</v>
      </c>
      <c r="F171" t="s">
        <v>67</v>
      </c>
      <c r="G171" t="s">
        <v>17</v>
      </c>
      <c r="H171">
        <v>150</v>
      </c>
      <c r="I171" t="s">
        <v>18</v>
      </c>
      <c r="J171">
        <v>6.27</v>
      </c>
      <c r="K171" t="s">
        <v>32</v>
      </c>
      <c r="L171" t="s">
        <v>95</v>
      </c>
    </row>
    <row r="172" spans="1:12" x14ac:dyDescent="0.25">
      <c r="A172" s="1">
        <v>45716</v>
      </c>
      <c r="B172" t="s">
        <v>231</v>
      </c>
      <c r="C172" t="s">
        <v>62</v>
      </c>
      <c r="D172" t="s">
        <v>37</v>
      </c>
      <c r="E172" t="s">
        <v>69</v>
      </c>
      <c r="F172" t="s">
        <v>55</v>
      </c>
      <c r="G172" t="s">
        <v>17</v>
      </c>
      <c r="H172">
        <v>166</v>
      </c>
      <c r="I172" t="s">
        <v>18</v>
      </c>
      <c r="J172">
        <v>2.62</v>
      </c>
      <c r="K172" t="s">
        <v>19</v>
      </c>
      <c r="L172" t="s">
        <v>51</v>
      </c>
    </row>
    <row r="173" spans="1:12" x14ac:dyDescent="0.25">
      <c r="A173" s="1">
        <v>45696</v>
      </c>
      <c r="B173" t="s">
        <v>232</v>
      </c>
      <c r="C173" t="s">
        <v>98</v>
      </c>
      <c r="D173" t="s">
        <v>37</v>
      </c>
      <c r="E173" t="s">
        <v>15</v>
      </c>
      <c r="F173" t="s">
        <v>55</v>
      </c>
      <c r="G173" t="s">
        <v>17</v>
      </c>
      <c r="H173">
        <v>148</v>
      </c>
      <c r="I173" t="s">
        <v>18</v>
      </c>
      <c r="J173">
        <v>1.68</v>
      </c>
      <c r="K173" t="s">
        <v>32</v>
      </c>
      <c r="L173" t="s">
        <v>47</v>
      </c>
    </row>
    <row r="174" spans="1:12" x14ac:dyDescent="0.25">
      <c r="A174" s="1">
        <v>45697</v>
      </c>
      <c r="B174" t="s">
        <v>233</v>
      </c>
      <c r="C174" t="s">
        <v>13</v>
      </c>
      <c r="D174" t="s">
        <v>14</v>
      </c>
      <c r="E174" t="s">
        <v>49</v>
      </c>
      <c r="F174" t="s">
        <v>25</v>
      </c>
      <c r="G174" t="s">
        <v>26</v>
      </c>
      <c r="H174">
        <v>49</v>
      </c>
      <c r="I174" t="s">
        <v>27</v>
      </c>
      <c r="J174">
        <v>6.04</v>
      </c>
      <c r="K174" t="s">
        <v>32</v>
      </c>
      <c r="L174" t="s">
        <v>28</v>
      </c>
    </row>
    <row r="175" spans="1:12" x14ac:dyDescent="0.25">
      <c r="A175" s="1">
        <v>45697</v>
      </c>
      <c r="B175" t="s">
        <v>234</v>
      </c>
      <c r="C175" t="s">
        <v>98</v>
      </c>
      <c r="D175" t="s">
        <v>37</v>
      </c>
      <c r="E175" t="s">
        <v>24</v>
      </c>
      <c r="F175" t="s">
        <v>67</v>
      </c>
      <c r="G175" t="s">
        <v>17</v>
      </c>
      <c r="H175">
        <v>147</v>
      </c>
      <c r="I175" t="s">
        <v>18</v>
      </c>
      <c r="J175">
        <v>3.73</v>
      </c>
      <c r="K175" t="s">
        <v>34</v>
      </c>
      <c r="L175" t="s">
        <v>70</v>
      </c>
    </row>
    <row r="176" spans="1:12" x14ac:dyDescent="0.25">
      <c r="A176" s="1">
        <v>45693</v>
      </c>
      <c r="B176" t="s">
        <v>235</v>
      </c>
      <c r="C176" t="s">
        <v>22</v>
      </c>
      <c r="D176" t="s">
        <v>23</v>
      </c>
      <c r="E176" t="s">
        <v>69</v>
      </c>
      <c r="F176" t="s">
        <v>55</v>
      </c>
      <c r="G176" t="s">
        <v>17</v>
      </c>
      <c r="H176">
        <v>61</v>
      </c>
      <c r="I176" t="s">
        <v>27</v>
      </c>
      <c r="J176">
        <v>1.74</v>
      </c>
      <c r="K176" t="s">
        <v>32</v>
      </c>
      <c r="L176" t="s">
        <v>79</v>
      </c>
    </row>
    <row r="177" spans="1:12" x14ac:dyDescent="0.25">
      <c r="A177" s="1">
        <v>45664</v>
      </c>
      <c r="B177" t="s">
        <v>236</v>
      </c>
      <c r="C177" t="s">
        <v>57</v>
      </c>
      <c r="D177" t="s">
        <v>37</v>
      </c>
      <c r="E177" t="s">
        <v>24</v>
      </c>
      <c r="F177" t="s">
        <v>42</v>
      </c>
      <c r="G177" t="s">
        <v>17</v>
      </c>
      <c r="H177">
        <v>42</v>
      </c>
      <c r="I177" t="s">
        <v>27</v>
      </c>
      <c r="J177">
        <v>2.72</v>
      </c>
      <c r="K177" t="s">
        <v>32</v>
      </c>
      <c r="L177" t="s">
        <v>60</v>
      </c>
    </row>
    <row r="178" spans="1:12" x14ac:dyDescent="0.25">
      <c r="A178" s="1">
        <v>45662</v>
      </c>
      <c r="B178" t="s">
        <v>237</v>
      </c>
      <c r="C178" t="s">
        <v>45</v>
      </c>
      <c r="D178" t="s">
        <v>46</v>
      </c>
      <c r="E178" t="s">
        <v>15</v>
      </c>
      <c r="F178" t="s">
        <v>67</v>
      </c>
      <c r="G178" t="s">
        <v>17</v>
      </c>
      <c r="H178">
        <v>163</v>
      </c>
      <c r="I178" t="s">
        <v>18</v>
      </c>
      <c r="J178">
        <v>5.85</v>
      </c>
      <c r="K178" t="s">
        <v>32</v>
      </c>
      <c r="L178" t="s">
        <v>39</v>
      </c>
    </row>
    <row r="179" spans="1:12" x14ac:dyDescent="0.25">
      <c r="A179" s="1">
        <v>45719</v>
      </c>
      <c r="B179" t="s">
        <v>238</v>
      </c>
      <c r="C179" t="s">
        <v>62</v>
      </c>
      <c r="D179" t="s">
        <v>37</v>
      </c>
      <c r="E179" t="s">
        <v>24</v>
      </c>
      <c r="F179" t="s">
        <v>67</v>
      </c>
      <c r="G179" t="s">
        <v>17</v>
      </c>
      <c r="H179">
        <v>44</v>
      </c>
      <c r="I179" t="s">
        <v>27</v>
      </c>
      <c r="J179">
        <v>2.65</v>
      </c>
      <c r="K179" t="s">
        <v>32</v>
      </c>
      <c r="L179" t="s">
        <v>70</v>
      </c>
    </row>
    <row r="180" spans="1:12" x14ac:dyDescent="0.25">
      <c r="A180" s="1">
        <v>45669</v>
      </c>
      <c r="B180" t="s">
        <v>239</v>
      </c>
      <c r="C180" t="s">
        <v>57</v>
      </c>
      <c r="D180" t="s">
        <v>37</v>
      </c>
      <c r="E180" t="s">
        <v>54</v>
      </c>
      <c r="F180" t="s">
        <v>67</v>
      </c>
      <c r="G180" t="s">
        <v>17</v>
      </c>
      <c r="H180">
        <v>130</v>
      </c>
      <c r="I180" t="s">
        <v>18</v>
      </c>
      <c r="J180">
        <v>4.22</v>
      </c>
      <c r="K180" t="s">
        <v>19</v>
      </c>
      <c r="L180" t="s">
        <v>124</v>
      </c>
    </row>
    <row r="181" spans="1:12" x14ac:dyDescent="0.25">
      <c r="A181" s="1">
        <v>45668</v>
      </c>
      <c r="B181" t="s">
        <v>240</v>
      </c>
      <c r="C181" t="s">
        <v>53</v>
      </c>
      <c r="D181" t="s">
        <v>37</v>
      </c>
      <c r="E181" t="s">
        <v>24</v>
      </c>
      <c r="F181" t="s">
        <v>31</v>
      </c>
      <c r="G181" t="s">
        <v>26</v>
      </c>
      <c r="H181">
        <v>133</v>
      </c>
      <c r="I181" t="s">
        <v>18</v>
      </c>
      <c r="J181">
        <v>5.54</v>
      </c>
      <c r="K181" t="s">
        <v>32</v>
      </c>
      <c r="L181" t="s">
        <v>70</v>
      </c>
    </row>
  </sheetData>
  <dataValidations count="3">
    <dataValidation type="whole" allowBlank="1" showInputMessage="1" showErrorMessage="1" sqref="H1" xr:uid="{2A6E6ACF-C340-4B9B-AE96-7AB06C94415B}">
      <formula1>1</formula1>
      <formula2>10000</formula2>
    </dataValidation>
    <dataValidation type="decimal" allowBlank="1" showInputMessage="1" showErrorMessage="1" sqref="J1" xr:uid="{3F7CA3A6-9492-4CC2-B487-FF8183BADFD6}">
      <formula1>0.5</formula1>
      <formula2>24</formula2>
    </dataValidation>
    <dataValidation type="list" allowBlank="1" showInputMessage="1" showErrorMessage="1" errorTitle="Invalid Entry" error="Please select a value from the dropdown list." sqref="G2:G1048576" xr:uid="{017C56CD-4C39-4BEF-8ADD-9ACA84CB1928}">
      <formula1>"'Master_Lists'!$C$1:$C$5"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Title="Invalid Entry" error="Please select a value from the dropdown list." xr:uid="{5A43F0CA-4A1B-4521-8495-0C33249F133C}">
          <x14:formula1>
            <xm:f>Master_Lists!A1:A7</xm:f>
          </x14:formula1>
          <xm:sqref>E1</xm:sqref>
        </x14:dataValidation>
        <x14:dataValidation type="list" allowBlank="1" showInputMessage="1" showErrorMessage="1" errorTitle="Invalid Entry" error="Please select a value from the dropdown list." xr:uid="{19DC2071-E0AB-4C45-92BA-756DC9ADE17E}">
          <x14:formula1>
            <xm:f>Master_Lists!C1:C5</xm:f>
          </x14:formula1>
          <xm:sqref>G1</xm:sqref>
        </x14:dataValidation>
        <x14:dataValidation type="list" allowBlank="1" showInputMessage="1" showErrorMessage="1" errorTitle="Invalid Entry" error="Please select a value from the dropdown list." xr:uid="{0487B068-0ED9-4396-93D5-04F5E6F3679C}">
          <x14:formula1>
            <xm:f>Master_Lists!D1:D6</xm:f>
          </x14:formula1>
          <xm:sqref>K1</xm:sqref>
        </x14:dataValidation>
        <x14:dataValidation type="list" allowBlank="1" showInputMessage="1" showErrorMessage="1" errorTitle="Invalid Entry" error="Please select a value from the dropdown list." xr:uid="{0B02B626-1470-43AD-ADA4-9487816B7734}">
          <x14:formula1>
            <xm:f>Master_Lists!E1:E4</xm:f>
          </x14:formula1>
          <xm:sqref>I1</xm:sqref>
        </x14:dataValidation>
        <x14:dataValidation type="list" allowBlank="1" showInputMessage="1" showErrorMessage="1" xr:uid="{1CA4DCCE-39E9-475E-B7BC-8E3DB96C0422}">
          <x14:formula1>
            <xm:f>Master_Lists!B1048409:B1048415+Master_Lists!$B$2:$B$8</xm:f>
          </x14:formula1>
          <xm:sqref>F1</xm:sqref>
        </x14:dataValidation>
        <x14:dataValidation type="list" allowBlank="1" showInputMessage="1" showErrorMessage="1" errorTitle="Invalid Entry" error="Please select a value from the dropdown list." xr:uid="{64EC29BD-C79D-474B-9E0E-13F59FCEB96A}">
          <x14:formula1>
            <xm:f>Master_Lists!$B$1:$B$8</xm:f>
          </x14:formula1>
          <xm:sqref>F2:F1048576</xm:sqref>
        </x14:dataValidation>
        <x14:dataValidation type="list" allowBlank="1" showInputMessage="1" showErrorMessage="1" errorTitle="Invalid Entry" error="Please select a value from the dropdown list." xr:uid="{4D919169-095C-44F1-9749-D320046BEA65}">
          <x14:formula1>
            <xm:f>Master_Lists!$A$1:$A$7</xm:f>
          </x14:formula1>
          <xm:sqref>E2:E1048576</xm:sqref>
        </x14:dataValidation>
        <x14:dataValidation type="list" allowBlank="1" showInputMessage="1" showErrorMessage="1" errorTitle="Invalid Entry" error="Please select a value from the dropdown list." xr:uid="{B1A1A540-E403-484F-9611-74659A8E0180}">
          <x14:formula1>
            <xm:f>Master_Lists!$E$1:$E$4</xm:f>
          </x14:formula1>
          <xm:sqref>I2:I1048576</xm:sqref>
        </x14:dataValidation>
        <x14:dataValidation type="list" allowBlank="1" showInputMessage="1" showErrorMessage="1" errorTitle="Invalid Entry" error="Please select a value from the dropdown list." xr:uid="{1475CF3D-36DD-42CF-A357-0F8EA46E67D5}">
          <x14:formula1>
            <xm:f>Master_Lists!$D$1:$D$6</xm:f>
          </x14:formula1>
          <xm:sqref>K2:K1048576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1"/>
  <sheetViews>
    <sheetView workbookViewId="0">
      <selection activeCell="I21" sqref="I21"/>
    </sheetView>
  </sheetViews>
  <sheetFormatPr defaultRowHeight="15" x14ac:dyDescent="0.25"/>
  <cols>
    <col min="1" max="1" width="9" bestFit="1" customWidth="1"/>
    <col min="2" max="2" width="9.7109375" bestFit="1" customWidth="1"/>
    <col min="3" max="3" width="12.42578125" bestFit="1" customWidth="1"/>
    <col min="4" max="4" width="13.140625" bestFit="1" customWidth="1"/>
    <col min="5" max="5" width="12.5703125" bestFit="1" customWidth="1"/>
    <col min="6" max="6" width="4.28515625" bestFit="1" customWidth="1"/>
    <col min="7" max="7" width="7.5703125" bestFit="1" customWidth="1"/>
    <col min="8" max="8" width="11" bestFit="1" customWidth="1"/>
    <col min="9" max="9" width="10.28515625" bestFit="1" customWidth="1"/>
  </cols>
  <sheetData>
    <row r="1" spans="1:9" x14ac:dyDescent="0.25">
      <c r="A1" t="s">
        <v>1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</row>
    <row r="2" spans="1:9" x14ac:dyDescent="0.25">
      <c r="A2" t="s">
        <v>12</v>
      </c>
      <c r="B2">
        <v>88</v>
      </c>
      <c r="C2">
        <v>149</v>
      </c>
      <c r="D2">
        <v>23</v>
      </c>
      <c r="E2">
        <v>11</v>
      </c>
      <c r="F2">
        <v>15</v>
      </c>
      <c r="G2">
        <v>16</v>
      </c>
      <c r="H2">
        <v>10</v>
      </c>
      <c r="I2">
        <f>SUM(B2:H2)</f>
        <v>312</v>
      </c>
    </row>
    <row r="3" spans="1:9" x14ac:dyDescent="0.25">
      <c r="A3" t="s">
        <v>21</v>
      </c>
      <c r="B3">
        <v>40</v>
      </c>
      <c r="C3">
        <v>65</v>
      </c>
      <c r="D3">
        <v>45</v>
      </c>
      <c r="E3">
        <v>27</v>
      </c>
      <c r="F3">
        <v>23</v>
      </c>
      <c r="G3">
        <v>15</v>
      </c>
      <c r="H3">
        <v>15</v>
      </c>
      <c r="I3">
        <f t="shared" ref="I3:I66" si="0">SUM(B3:H3)</f>
        <v>230</v>
      </c>
    </row>
    <row r="4" spans="1:9" x14ac:dyDescent="0.25">
      <c r="A4" t="s">
        <v>29</v>
      </c>
      <c r="B4">
        <v>60</v>
      </c>
      <c r="C4">
        <v>54</v>
      </c>
      <c r="D4">
        <v>42</v>
      </c>
      <c r="E4">
        <v>21</v>
      </c>
      <c r="F4">
        <v>15</v>
      </c>
      <c r="G4">
        <v>6</v>
      </c>
      <c r="H4">
        <v>4</v>
      </c>
      <c r="I4">
        <f t="shared" si="0"/>
        <v>202</v>
      </c>
    </row>
    <row r="5" spans="1:9" x14ac:dyDescent="0.25">
      <c r="A5" t="s">
        <v>33</v>
      </c>
      <c r="B5">
        <v>116</v>
      </c>
      <c r="C5">
        <v>72</v>
      </c>
      <c r="D5">
        <v>28</v>
      </c>
      <c r="E5">
        <v>21</v>
      </c>
      <c r="F5">
        <v>11</v>
      </c>
      <c r="G5">
        <v>17</v>
      </c>
      <c r="H5">
        <v>9</v>
      </c>
      <c r="I5">
        <f t="shared" si="0"/>
        <v>274</v>
      </c>
    </row>
    <row r="6" spans="1:9" x14ac:dyDescent="0.25">
      <c r="A6" t="s">
        <v>35</v>
      </c>
      <c r="B6">
        <v>74</v>
      </c>
      <c r="C6">
        <v>137</v>
      </c>
      <c r="D6">
        <v>27</v>
      </c>
      <c r="E6">
        <v>21</v>
      </c>
      <c r="F6">
        <v>12</v>
      </c>
      <c r="G6">
        <v>14</v>
      </c>
      <c r="H6">
        <v>4</v>
      </c>
      <c r="I6">
        <f t="shared" si="0"/>
        <v>289</v>
      </c>
    </row>
    <row r="7" spans="1:9" x14ac:dyDescent="0.25">
      <c r="A7" t="s">
        <v>40</v>
      </c>
      <c r="B7">
        <v>91</v>
      </c>
      <c r="C7">
        <v>51</v>
      </c>
      <c r="D7">
        <v>37</v>
      </c>
      <c r="E7">
        <v>40</v>
      </c>
      <c r="F7">
        <v>5</v>
      </c>
      <c r="G7">
        <v>7</v>
      </c>
      <c r="H7">
        <v>10</v>
      </c>
      <c r="I7">
        <f t="shared" si="0"/>
        <v>241</v>
      </c>
    </row>
    <row r="8" spans="1:9" x14ac:dyDescent="0.25">
      <c r="A8" t="s">
        <v>44</v>
      </c>
      <c r="B8">
        <v>21</v>
      </c>
      <c r="C8">
        <v>62</v>
      </c>
      <c r="D8">
        <v>34</v>
      </c>
      <c r="E8">
        <v>7</v>
      </c>
      <c r="F8">
        <v>2</v>
      </c>
      <c r="G8">
        <v>1</v>
      </c>
      <c r="H8">
        <v>5</v>
      </c>
      <c r="I8">
        <f t="shared" si="0"/>
        <v>132</v>
      </c>
    </row>
    <row r="9" spans="1:9" x14ac:dyDescent="0.25">
      <c r="A9" t="s">
        <v>48</v>
      </c>
      <c r="B9">
        <v>97</v>
      </c>
      <c r="C9">
        <v>140</v>
      </c>
      <c r="D9">
        <v>27</v>
      </c>
      <c r="E9">
        <v>21</v>
      </c>
      <c r="F9">
        <v>18</v>
      </c>
      <c r="G9">
        <v>16</v>
      </c>
      <c r="H9">
        <v>15</v>
      </c>
      <c r="I9">
        <f t="shared" si="0"/>
        <v>334</v>
      </c>
    </row>
    <row r="10" spans="1:9" x14ac:dyDescent="0.25">
      <c r="A10" t="s">
        <v>52</v>
      </c>
      <c r="B10">
        <v>63</v>
      </c>
      <c r="C10">
        <v>76</v>
      </c>
      <c r="D10">
        <v>39</v>
      </c>
      <c r="E10">
        <v>7</v>
      </c>
      <c r="F10">
        <v>5</v>
      </c>
      <c r="G10">
        <v>11</v>
      </c>
      <c r="H10">
        <v>9</v>
      </c>
      <c r="I10">
        <f t="shared" si="0"/>
        <v>210</v>
      </c>
    </row>
    <row r="11" spans="1:9" x14ac:dyDescent="0.25">
      <c r="A11" t="s">
        <v>56</v>
      </c>
      <c r="B11">
        <v>72</v>
      </c>
      <c r="C11">
        <v>119</v>
      </c>
      <c r="D11">
        <v>33</v>
      </c>
      <c r="E11">
        <v>17</v>
      </c>
      <c r="F11">
        <v>14</v>
      </c>
      <c r="G11">
        <v>11</v>
      </c>
      <c r="H11">
        <v>0</v>
      </c>
      <c r="I11">
        <f t="shared" si="0"/>
        <v>266</v>
      </c>
    </row>
    <row r="12" spans="1:9" x14ac:dyDescent="0.25">
      <c r="A12" t="s">
        <v>59</v>
      </c>
      <c r="B12">
        <v>49</v>
      </c>
      <c r="C12">
        <v>66</v>
      </c>
      <c r="D12">
        <v>3</v>
      </c>
      <c r="E12">
        <v>29</v>
      </c>
      <c r="F12">
        <v>0</v>
      </c>
      <c r="G12">
        <v>16</v>
      </c>
      <c r="H12">
        <v>14</v>
      </c>
      <c r="I12">
        <f t="shared" si="0"/>
        <v>177</v>
      </c>
    </row>
    <row r="13" spans="1:9" x14ac:dyDescent="0.25">
      <c r="A13" t="s">
        <v>61</v>
      </c>
      <c r="B13">
        <v>61</v>
      </c>
      <c r="C13">
        <v>131</v>
      </c>
      <c r="D13">
        <v>18</v>
      </c>
      <c r="E13">
        <v>27</v>
      </c>
      <c r="F13">
        <v>6</v>
      </c>
      <c r="G13">
        <v>3</v>
      </c>
      <c r="H13">
        <v>0</v>
      </c>
      <c r="I13">
        <f t="shared" si="0"/>
        <v>246</v>
      </c>
    </row>
    <row r="14" spans="1:9" x14ac:dyDescent="0.25">
      <c r="A14" t="s">
        <v>63</v>
      </c>
      <c r="B14">
        <v>107</v>
      </c>
      <c r="C14">
        <v>77</v>
      </c>
      <c r="D14">
        <v>9</v>
      </c>
      <c r="E14">
        <v>27</v>
      </c>
      <c r="F14">
        <v>2</v>
      </c>
      <c r="G14">
        <v>9</v>
      </c>
      <c r="H14">
        <v>2</v>
      </c>
      <c r="I14">
        <f t="shared" si="0"/>
        <v>233</v>
      </c>
    </row>
    <row r="15" spans="1:9" x14ac:dyDescent="0.25">
      <c r="A15" t="s">
        <v>64</v>
      </c>
      <c r="B15">
        <v>21</v>
      </c>
      <c r="C15">
        <v>109</v>
      </c>
      <c r="D15">
        <v>49</v>
      </c>
      <c r="E15">
        <v>36</v>
      </c>
      <c r="F15">
        <v>6</v>
      </c>
      <c r="G15">
        <v>19</v>
      </c>
      <c r="H15">
        <v>10</v>
      </c>
      <c r="I15">
        <f t="shared" si="0"/>
        <v>250</v>
      </c>
    </row>
    <row r="16" spans="1:9" x14ac:dyDescent="0.25">
      <c r="A16" t="s">
        <v>66</v>
      </c>
      <c r="B16">
        <v>111</v>
      </c>
      <c r="C16">
        <v>62</v>
      </c>
      <c r="D16">
        <v>7</v>
      </c>
      <c r="E16">
        <v>40</v>
      </c>
      <c r="F16">
        <v>23</v>
      </c>
      <c r="G16">
        <v>2</v>
      </c>
      <c r="H16">
        <v>9</v>
      </c>
      <c r="I16">
        <f t="shared" si="0"/>
        <v>254</v>
      </c>
    </row>
    <row r="17" spans="1:9" x14ac:dyDescent="0.25">
      <c r="A17" t="s">
        <v>68</v>
      </c>
      <c r="B17">
        <v>81</v>
      </c>
      <c r="C17">
        <v>115</v>
      </c>
      <c r="D17">
        <v>8</v>
      </c>
      <c r="E17">
        <v>17</v>
      </c>
      <c r="F17">
        <v>2</v>
      </c>
      <c r="G17">
        <v>20</v>
      </c>
      <c r="H17">
        <v>15</v>
      </c>
      <c r="I17">
        <f t="shared" si="0"/>
        <v>258</v>
      </c>
    </row>
    <row r="18" spans="1:9" x14ac:dyDescent="0.25">
      <c r="A18" t="s">
        <v>71</v>
      </c>
      <c r="B18">
        <v>44</v>
      </c>
      <c r="C18">
        <v>92</v>
      </c>
      <c r="D18">
        <v>33</v>
      </c>
      <c r="E18">
        <v>38</v>
      </c>
      <c r="F18">
        <v>25</v>
      </c>
      <c r="G18">
        <v>19</v>
      </c>
      <c r="H18">
        <v>8</v>
      </c>
      <c r="I18">
        <f t="shared" si="0"/>
        <v>259</v>
      </c>
    </row>
    <row r="19" spans="1:9" x14ac:dyDescent="0.25">
      <c r="A19" t="s">
        <v>72</v>
      </c>
      <c r="B19">
        <v>101</v>
      </c>
      <c r="C19">
        <v>80</v>
      </c>
      <c r="D19">
        <v>37</v>
      </c>
      <c r="E19">
        <v>6</v>
      </c>
      <c r="F19">
        <v>18</v>
      </c>
      <c r="G19">
        <v>3</v>
      </c>
      <c r="H19">
        <v>15</v>
      </c>
      <c r="I19">
        <f t="shared" si="0"/>
        <v>260</v>
      </c>
    </row>
    <row r="20" spans="1:9" x14ac:dyDescent="0.25">
      <c r="A20" t="s">
        <v>73</v>
      </c>
      <c r="B20">
        <v>87</v>
      </c>
      <c r="C20">
        <v>58</v>
      </c>
      <c r="D20">
        <v>55</v>
      </c>
      <c r="E20">
        <v>5</v>
      </c>
      <c r="F20">
        <v>24</v>
      </c>
      <c r="G20">
        <v>5</v>
      </c>
      <c r="H20">
        <v>1</v>
      </c>
      <c r="I20">
        <f t="shared" si="0"/>
        <v>235</v>
      </c>
    </row>
    <row r="21" spans="1:9" x14ac:dyDescent="0.25">
      <c r="A21" t="s">
        <v>74</v>
      </c>
      <c r="B21">
        <v>80</v>
      </c>
      <c r="C21">
        <v>137</v>
      </c>
      <c r="D21">
        <v>52</v>
      </c>
      <c r="E21">
        <v>24</v>
      </c>
      <c r="F21">
        <v>2</v>
      </c>
      <c r="G21">
        <v>15</v>
      </c>
      <c r="H21">
        <v>9</v>
      </c>
      <c r="I21">
        <f t="shared" si="0"/>
        <v>319</v>
      </c>
    </row>
    <row r="22" spans="1:9" x14ac:dyDescent="0.25">
      <c r="A22" t="s">
        <v>75</v>
      </c>
      <c r="B22">
        <v>51</v>
      </c>
      <c r="C22">
        <v>57</v>
      </c>
      <c r="D22">
        <v>3</v>
      </c>
      <c r="E22">
        <v>13</v>
      </c>
      <c r="F22">
        <v>2</v>
      </c>
      <c r="G22">
        <v>6</v>
      </c>
      <c r="H22">
        <v>15</v>
      </c>
      <c r="I22">
        <f t="shared" si="0"/>
        <v>147</v>
      </c>
    </row>
    <row r="23" spans="1:9" x14ac:dyDescent="0.25">
      <c r="A23" t="s">
        <v>76</v>
      </c>
      <c r="B23">
        <v>55</v>
      </c>
      <c r="C23">
        <v>98</v>
      </c>
      <c r="D23">
        <v>60</v>
      </c>
      <c r="E23">
        <v>5</v>
      </c>
      <c r="F23">
        <v>6</v>
      </c>
      <c r="G23">
        <v>18</v>
      </c>
      <c r="H23">
        <v>12</v>
      </c>
      <c r="I23">
        <f t="shared" si="0"/>
        <v>254</v>
      </c>
    </row>
    <row r="24" spans="1:9" x14ac:dyDescent="0.25">
      <c r="A24" t="s">
        <v>77</v>
      </c>
      <c r="B24">
        <v>41</v>
      </c>
      <c r="C24">
        <v>111</v>
      </c>
      <c r="D24">
        <v>1</v>
      </c>
      <c r="E24">
        <v>28</v>
      </c>
      <c r="F24">
        <v>9</v>
      </c>
      <c r="G24">
        <v>8</v>
      </c>
      <c r="H24">
        <v>11</v>
      </c>
      <c r="I24">
        <f t="shared" si="0"/>
        <v>209</v>
      </c>
    </row>
    <row r="25" spans="1:9" x14ac:dyDescent="0.25">
      <c r="A25" t="s">
        <v>78</v>
      </c>
      <c r="B25">
        <v>91</v>
      </c>
      <c r="C25">
        <v>146</v>
      </c>
      <c r="D25">
        <v>18</v>
      </c>
      <c r="E25">
        <v>30</v>
      </c>
      <c r="F25">
        <v>17</v>
      </c>
      <c r="G25">
        <v>10</v>
      </c>
      <c r="H25">
        <v>0</v>
      </c>
      <c r="I25">
        <f t="shared" si="0"/>
        <v>312</v>
      </c>
    </row>
    <row r="26" spans="1:9" x14ac:dyDescent="0.25">
      <c r="A26" t="s">
        <v>80</v>
      </c>
      <c r="B26">
        <v>106</v>
      </c>
      <c r="C26">
        <v>75</v>
      </c>
      <c r="D26">
        <v>60</v>
      </c>
      <c r="E26">
        <v>5</v>
      </c>
      <c r="F26">
        <v>23</v>
      </c>
      <c r="G26">
        <v>13</v>
      </c>
      <c r="H26">
        <v>15</v>
      </c>
      <c r="I26">
        <f t="shared" si="0"/>
        <v>297</v>
      </c>
    </row>
    <row r="27" spans="1:9" x14ac:dyDescent="0.25">
      <c r="A27" t="s">
        <v>81</v>
      </c>
      <c r="B27">
        <v>85</v>
      </c>
      <c r="C27">
        <v>144</v>
      </c>
      <c r="D27">
        <v>40</v>
      </c>
      <c r="E27">
        <v>17</v>
      </c>
      <c r="F27">
        <v>6</v>
      </c>
      <c r="G27">
        <v>6</v>
      </c>
      <c r="H27">
        <v>11</v>
      </c>
      <c r="I27">
        <f>SUM(B27:H27)</f>
        <v>309</v>
      </c>
    </row>
    <row r="28" spans="1:9" x14ac:dyDescent="0.25">
      <c r="A28" t="s">
        <v>83</v>
      </c>
      <c r="B28">
        <v>74</v>
      </c>
      <c r="C28">
        <v>88</v>
      </c>
      <c r="D28">
        <v>45</v>
      </c>
      <c r="E28">
        <v>33</v>
      </c>
      <c r="F28">
        <v>2</v>
      </c>
      <c r="G28">
        <v>8</v>
      </c>
      <c r="H28">
        <v>4</v>
      </c>
      <c r="I28">
        <f t="shared" si="0"/>
        <v>254</v>
      </c>
    </row>
    <row r="29" spans="1:9" x14ac:dyDescent="0.25">
      <c r="A29" t="s">
        <v>84</v>
      </c>
      <c r="B29">
        <v>39</v>
      </c>
      <c r="C29">
        <v>142</v>
      </c>
      <c r="D29">
        <v>49</v>
      </c>
      <c r="E29">
        <v>24</v>
      </c>
      <c r="F29">
        <v>6</v>
      </c>
      <c r="G29">
        <v>4</v>
      </c>
      <c r="H29">
        <v>2</v>
      </c>
      <c r="I29">
        <f t="shared" si="0"/>
        <v>266</v>
      </c>
    </row>
    <row r="30" spans="1:9" x14ac:dyDescent="0.25">
      <c r="A30" t="s">
        <v>85</v>
      </c>
      <c r="B30">
        <v>112</v>
      </c>
      <c r="C30">
        <v>104</v>
      </c>
      <c r="D30">
        <v>35</v>
      </c>
      <c r="E30">
        <v>14</v>
      </c>
      <c r="F30">
        <v>17</v>
      </c>
      <c r="G30">
        <v>17</v>
      </c>
      <c r="H30">
        <v>15</v>
      </c>
      <c r="I30">
        <f t="shared" si="0"/>
        <v>314</v>
      </c>
    </row>
    <row r="31" spans="1:9" x14ac:dyDescent="0.25">
      <c r="A31" t="s">
        <v>86</v>
      </c>
      <c r="B31">
        <v>38</v>
      </c>
      <c r="C31">
        <v>109</v>
      </c>
      <c r="D31">
        <v>57</v>
      </c>
      <c r="E31">
        <v>26</v>
      </c>
      <c r="F31">
        <v>18</v>
      </c>
      <c r="G31">
        <v>12</v>
      </c>
      <c r="H31">
        <v>8</v>
      </c>
      <c r="I31">
        <f t="shared" si="0"/>
        <v>268</v>
      </c>
    </row>
    <row r="32" spans="1:9" x14ac:dyDescent="0.25">
      <c r="A32" t="s">
        <v>87</v>
      </c>
      <c r="B32">
        <v>89</v>
      </c>
      <c r="C32">
        <v>105</v>
      </c>
      <c r="D32">
        <v>32</v>
      </c>
      <c r="E32">
        <v>9</v>
      </c>
      <c r="F32">
        <v>24</v>
      </c>
      <c r="G32">
        <v>5</v>
      </c>
      <c r="H32">
        <v>7</v>
      </c>
      <c r="I32">
        <f t="shared" si="0"/>
        <v>271</v>
      </c>
    </row>
    <row r="33" spans="1:9" x14ac:dyDescent="0.25">
      <c r="A33" t="s">
        <v>88</v>
      </c>
      <c r="B33">
        <v>77</v>
      </c>
      <c r="C33">
        <v>136</v>
      </c>
      <c r="D33">
        <v>33</v>
      </c>
      <c r="E33">
        <v>5</v>
      </c>
      <c r="F33">
        <v>12</v>
      </c>
      <c r="G33">
        <v>2</v>
      </c>
      <c r="H33">
        <v>11</v>
      </c>
      <c r="I33">
        <f t="shared" si="0"/>
        <v>276</v>
      </c>
    </row>
    <row r="34" spans="1:9" x14ac:dyDescent="0.25">
      <c r="A34" t="s">
        <v>89</v>
      </c>
      <c r="B34">
        <v>31</v>
      </c>
      <c r="C34">
        <v>108</v>
      </c>
      <c r="D34">
        <v>57</v>
      </c>
      <c r="E34">
        <v>6</v>
      </c>
      <c r="F34">
        <v>7</v>
      </c>
      <c r="G34">
        <v>14</v>
      </c>
      <c r="H34">
        <v>7</v>
      </c>
      <c r="I34">
        <f t="shared" si="0"/>
        <v>230</v>
      </c>
    </row>
    <row r="35" spans="1:9" x14ac:dyDescent="0.25">
      <c r="A35" t="s">
        <v>90</v>
      </c>
      <c r="B35">
        <v>88</v>
      </c>
      <c r="C35">
        <v>69</v>
      </c>
      <c r="D35">
        <v>31</v>
      </c>
      <c r="E35">
        <v>26</v>
      </c>
      <c r="F35">
        <v>8</v>
      </c>
      <c r="G35">
        <v>18</v>
      </c>
      <c r="H35">
        <v>9</v>
      </c>
      <c r="I35">
        <f t="shared" si="0"/>
        <v>249</v>
      </c>
    </row>
    <row r="36" spans="1:9" x14ac:dyDescent="0.25">
      <c r="A36" t="s">
        <v>91</v>
      </c>
      <c r="B36">
        <v>39</v>
      </c>
      <c r="C36">
        <v>110</v>
      </c>
      <c r="D36">
        <v>7</v>
      </c>
      <c r="E36">
        <v>10</v>
      </c>
      <c r="F36">
        <v>0</v>
      </c>
      <c r="G36">
        <v>8</v>
      </c>
      <c r="H36">
        <v>4</v>
      </c>
      <c r="I36">
        <f t="shared" si="0"/>
        <v>178</v>
      </c>
    </row>
    <row r="37" spans="1:9" x14ac:dyDescent="0.25">
      <c r="A37" t="s">
        <v>92</v>
      </c>
      <c r="B37">
        <v>26</v>
      </c>
      <c r="C37">
        <v>138</v>
      </c>
      <c r="D37">
        <v>32</v>
      </c>
      <c r="E37">
        <v>12</v>
      </c>
      <c r="F37">
        <v>2</v>
      </c>
      <c r="G37">
        <v>16</v>
      </c>
      <c r="H37">
        <v>10</v>
      </c>
      <c r="I37">
        <f t="shared" si="0"/>
        <v>236</v>
      </c>
    </row>
    <row r="38" spans="1:9" x14ac:dyDescent="0.25">
      <c r="A38" t="s">
        <v>93</v>
      </c>
      <c r="B38">
        <v>82</v>
      </c>
      <c r="C38">
        <v>100</v>
      </c>
      <c r="D38">
        <v>25</v>
      </c>
      <c r="E38">
        <v>26</v>
      </c>
      <c r="F38">
        <v>20</v>
      </c>
      <c r="G38">
        <v>15</v>
      </c>
      <c r="H38">
        <v>3</v>
      </c>
      <c r="I38">
        <f t="shared" si="0"/>
        <v>271</v>
      </c>
    </row>
    <row r="39" spans="1:9" x14ac:dyDescent="0.25">
      <c r="A39" t="s">
        <v>94</v>
      </c>
      <c r="B39">
        <v>119</v>
      </c>
      <c r="C39">
        <v>115</v>
      </c>
      <c r="D39">
        <v>54</v>
      </c>
      <c r="E39">
        <v>35</v>
      </c>
      <c r="F39">
        <v>0</v>
      </c>
      <c r="G39">
        <v>13</v>
      </c>
      <c r="H39">
        <v>3</v>
      </c>
      <c r="I39">
        <f t="shared" si="0"/>
        <v>339</v>
      </c>
    </row>
    <row r="40" spans="1:9" x14ac:dyDescent="0.25">
      <c r="A40" t="s">
        <v>96</v>
      </c>
      <c r="B40">
        <v>59</v>
      </c>
      <c r="C40">
        <v>124</v>
      </c>
      <c r="D40">
        <v>40</v>
      </c>
      <c r="E40">
        <v>7</v>
      </c>
      <c r="F40">
        <v>7</v>
      </c>
      <c r="G40">
        <v>2</v>
      </c>
      <c r="H40">
        <v>13</v>
      </c>
      <c r="I40">
        <f t="shared" si="0"/>
        <v>252</v>
      </c>
    </row>
    <row r="41" spans="1:9" x14ac:dyDescent="0.25">
      <c r="A41" t="s">
        <v>97</v>
      </c>
      <c r="B41">
        <v>23</v>
      </c>
      <c r="C41">
        <v>69</v>
      </c>
      <c r="D41">
        <v>28</v>
      </c>
      <c r="E41">
        <v>20</v>
      </c>
      <c r="F41">
        <v>1</v>
      </c>
      <c r="G41">
        <v>14</v>
      </c>
      <c r="H41">
        <v>7</v>
      </c>
      <c r="I41">
        <f t="shared" si="0"/>
        <v>162</v>
      </c>
    </row>
    <row r="42" spans="1:9" x14ac:dyDescent="0.25">
      <c r="A42" t="s">
        <v>99</v>
      </c>
      <c r="B42">
        <v>56</v>
      </c>
      <c r="C42">
        <v>135</v>
      </c>
      <c r="D42">
        <v>7</v>
      </c>
      <c r="E42">
        <v>20</v>
      </c>
      <c r="F42">
        <v>11</v>
      </c>
      <c r="G42">
        <v>15</v>
      </c>
      <c r="H42">
        <v>13</v>
      </c>
      <c r="I42">
        <f t="shared" si="0"/>
        <v>257</v>
      </c>
    </row>
    <row r="43" spans="1:9" x14ac:dyDescent="0.25">
      <c r="A43" t="s">
        <v>100</v>
      </c>
      <c r="B43">
        <v>38</v>
      </c>
      <c r="C43">
        <v>69</v>
      </c>
      <c r="D43">
        <v>33</v>
      </c>
      <c r="E43">
        <v>18</v>
      </c>
      <c r="F43">
        <v>12</v>
      </c>
      <c r="G43">
        <v>15</v>
      </c>
      <c r="H43">
        <v>11</v>
      </c>
      <c r="I43">
        <f t="shared" si="0"/>
        <v>196</v>
      </c>
    </row>
    <row r="44" spans="1:9" x14ac:dyDescent="0.25">
      <c r="A44" t="s">
        <v>101</v>
      </c>
      <c r="B44">
        <v>96</v>
      </c>
      <c r="C44">
        <v>112</v>
      </c>
      <c r="D44">
        <v>47</v>
      </c>
      <c r="E44">
        <v>5</v>
      </c>
      <c r="F44">
        <v>19</v>
      </c>
      <c r="G44">
        <v>2</v>
      </c>
      <c r="H44">
        <v>6</v>
      </c>
      <c r="I44">
        <f t="shared" si="0"/>
        <v>287</v>
      </c>
    </row>
    <row r="45" spans="1:9" x14ac:dyDescent="0.25">
      <c r="A45" t="s">
        <v>102</v>
      </c>
      <c r="B45">
        <v>60</v>
      </c>
      <c r="C45">
        <v>53</v>
      </c>
      <c r="D45">
        <v>22</v>
      </c>
      <c r="E45">
        <v>35</v>
      </c>
      <c r="F45">
        <v>8</v>
      </c>
      <c r="G45">
        <v>11</v>
      </c>
      <c r="H45">
        <v>14</v>
      </c>
      <c r="I45">
        <f t="shared" si="0"/>
        <v>203</v>
      </c>
    </row>
    <row r="46" spans="1:9" x14ac:dyDescent="0.25">
      <c r="A46" t="s">
        <v>103</v>
      </c>
      <c r="B46">
        <v>52</v>
      </c>
      <c r="C46">
        <v>130</v>
      </c>
      <c r="D46">
        <v>36</v>
      </c>
      <c r="E46">
        <v>21</v>
      </c>
      <c r="F46">
        <v>24</v>
      </c>
      <c r="G46">
        <v>7</v>
      </c>
      <c r="H46">
        <v>3</v>
      </c>
      <c r="I46">
        <f t="shared" si="0"/>
        <v>273</v>
      </c>
    </row>
    <row r="47" spans="1:9" x14ac:dyDescent="0.25">
      <c r="A47" t="s">
        <v>104</v>
      </c>
      <c r="B47">
        <v>88</v>
      </c>
      <c r="C47">
        <v>137</v>
      </c>
      <c r="D47">
        <v>23</v>
      </c>
      <c r="E47">
        <v>39</v>
      </c>
      <c r="F47">
        <v>12</v>
      </c>
      <c r="G47">
        <v>4</v>
      </c>
      <c r="H47">
        <v>11</v>
      </c>
      <c r="I47">
        <f t="shared" si="0"/>
        <v>314</v>
      </c>
    </row>
    <row r="48" spans="1:9" x14ac:dyDescent="0.25">
      <c r="A48" t="s">
        <v>105</v>
      </c>
      <c r="B48">
        <v>58</v>
      </c>
      <c r="C48">
        <v>88</v>
      </c>
      <c r="D48">
        <v>29</v>
      </c>
      <c r="E48">
        <v>36</v>
      </c>
      <c r="F48">
        <v>4</v>
      </c>
      <c r="G48">
        <v>17</v>
      </c>
      <c r="H48">
        <v>10</v>
      </c>
      <c r="I48">
        <f t="shared" si="0"/>
        <v>242</v>
      </c>
    </row>
    <row r="49" spans="1:9" x14ac:dyDescent="0.25">
      <c r="A49" t="s">
        <v>106</v>
      </c>
      <c r="B49">
        <v>110</v>
      </c>
      <c r="C49">
        <v>50</v>
      </c>
      <c r="D49">
        <v>24</v>
      </c>
      <c r="E49">
        <v>26</v>
      </c>
      <c r="F49">
        <v>9</v>
      </c>
      <c r="G49">
        <v>8</v>
      </c>
      <c r="H49">
        <v>4</v>
      </c>
      <c r="I49">
        <f t="shared" si="0"/>
        <v>231</v>
      </c>
    </row>
    <row r="50" spans="1:9" x14ac:dyDescent="0.25">
      <c r="A50" t="s">
        <v>107</v>
      </c>
      <c r="B50">
        <v>43</v>
      </c>
      <c r="C50">
        <v>136</v>
      </c>
      <c r="D50">
        <v>2</v>
      </c>
      <c r="E50">
        <v>35</v>
      </c>
      <c r="F50">
        <v>25</v>
      </c>
      <c r="G50">
        <v>2</v>
      </c>
      <c r="H50">
        <v>14</v>
      </c>
      <c r="I50">
        <f t="shared" si="0"/>
        <v>257</v>
      </c>
    </row>
    <row r="51" spans="1:9" x14ac:dyDescent="0.25">
      <c r="A51" t="s">
        <v>108</v>
      </c>
      <c r="B51">
        <v>92</v>
      </c>
      <c r="C51">
        <v>86</v>
      </c>
      <c r="D51">
        <v>3</v>
      </c>
      <c r="E51">
        <v>14</v>
      </c>
      <c r="F51">
        <v>21</v>
      </c>
      <c r="G51">
        <v>9</v>
      </c>
      <c r="H51">
        <v>3</v>
      </c>
      <c r="I51">
        <f t="shared" si="0"/>
        <v>228</v>
      </c>
    </row>
    <row r="52" spans="1:9" x14ac:dyDescent="0.25">
      <c r="A52" t="s">
        <v>109</v>
      </c>
      <c r="B52">
        <v>54</v>
      </c>
      <c r="C52">
        <v>116</v>
      </c>
      <c r="D52">
        <v>18</v>
      </c>
      <c r="E52">
        <v>9</v>
      </c>
      <c r="F52">
        <v>20</v>
      </c>
      <c r="G52">
        <v>13</v>
      </c>
      <c r="H52">
        <v>3</v>
      </c>
      <c r="I52">
        <f t="shared" si="0"/>
        <v>233</v>
      </c>
    </row>
    <row r="53" spans="1:9" x14ac:dyDescent="0.25">
      <c r="A53" t="s">
        <v>110</v>
      </c>
      <c r="B53">
        <v>35</v>
      </c>
      <c r="C53">
        <v>145</v>
      </c>
      <c r="D53">
        <v>18</v>
      </c>
      <c r="E53">
        <v>34</v>
      </c>
      <c r="F53">
        <v>23</v>
      </c>
      <c r="G53">
        <v>15</v>
      </c>
      <c r="H53">
        <v>11</v>
      </c>
      <c r="I53">
        <f t="shared" si="0"/>
        <v>281</v>
      </c>
    </row>
    <row r="54" spans="1:9" x14ac:dyDescent="0.25">
      <c r="A54" t="s">
        <v>111</v>
      </c>
      <c r="B54">
        <v>85</v>
      </c>
      <c r="C54">
        <v>52</v>
      </c>
      <c r="D54">
        <v>39</v>
      </c>
      <c r="E54">
        <v>11</v>
      </c>
      <c r="F54">
        <v>16</v>
      </c>
      <c r="G54">
        <v>12</v>
      </c>
      <c r="H54">
        <v>7</v>
      </c>
      <c r="I54">
        <f t="shared" si="0"/>
        <v>222</v>
      </c>
    </row>
    <row r="55" spans="1:9" x14ac:dyDescent="0.25">
      <c r="A55" t="s">
        <v>112</v>
      </c>
      <c r="B55">
        <v>81</v>
      </c>
      <c r="C55">
        <v>82</v>
      </c>
      <c r="D55">
        <v>5</v>
      </c>
      <c r="E55">
        <v>29</v>
      </c>
      <c r="F55">
        <v>25</v>
      </c>
      <c r="G55">
        <v>20</v>
      </c>
      <c r="H55">
        <v>11</v>
      </c>
      <c r="I55">
        <f t="shared" si="0"/>
        <v>253</v>
      </c>
    </row>
    <row r="56" spans="1:9" x14ac:dyDescent="0.25">
      <c r="A56" t="s">
        <v>113</v>
      </c>
      <c r="B56">
        <v>101</v>
      </c>
      <c r="C56">
        <v>137</v>
      </c>
      <c r="D56">
        <v>25</v>
      </c>
      <c r="E56">
        <v>24</v>
      </c>
      <c r="F56">
        <v>17</v>
      </c>
      <c r="G56">
        <v>18</v>
      </c>
      <c r="H56">
        <v>15</v>
      </c>
      <c r="I56">
        <f t="shared" si="0"/>
        <v>337</v>
      </c>
    </row>
    <row r="57" spans="1:9" x14ac:dyDescent="0.25">
      <c r="A57" t="s">
        <v>114</v>
      </c>
      <c r="B57">
        <v>42</v>
      </c>
      <c r="C57">
        <v>50</v>
      </c>
      <c r="D57">
        <v>41</v>
      </c>
      <c r="E57">
        <v>31</v>
      </c>
      <c r="F57">
        <v>15</v>
      </c>
      <c r="G57">
        <v>11</v>
      </c>
      <c r="H57">
        <v>9</v>
      </c>
      <c r="I57">
        <f t="shared" si="0"/>
        <v>199</v>
      </c>
    </row>
    <row r="58" spans="1:9" x14ac:dyDescent="0.25">
      <c r="A58" t="s">
        <v>115</v>
      </c>
      <c r="B58">
        <v>91</v>
      </c>
      <c r="C58">
        <v>67</v>
      </c>
      <c r="D58">
        <v>17</v>
      </c>
      <c r="E58">
        <v>15</v>
      </c>
      <c r="F58">
        <v>10</v>
      </c>
      <c r="G58">
        <v>12</v>
      </c>
      <c r="H58">
        <v>11</v>
      </c>
      <c r="I58">
        <f t="shared" si="0"/>
        <v>223</v>
      </c>
    </row>
    <row r="59" spans="1:9" x14ac:dyDescent="0.25">
      <c r="A59" t="s">
        <v>116</v>
      </c>
      <c r="B59">
        <v>33</v>
      </c>
      <c r="C59">
        <v>129</v>
      </c>
      <c r="D59">
        <v>52</v>
      </c>
      <c r="E59">
        <v>22</v>
      </c>
      <c r="F59">
        <v>12</v>
      </c>
      <c r="G59">
        <v>8</v>
      </c>
      <c r="H59">
        <v>10</v>
      </c>
      <c r="I59">
        <f t="shared" si="0"/>
        <v>266</v>
      </c>
    </row>
    <row r="60" spans="1:9" x14ac:dyDescent="0.25">
      <c r="A60" t="s">
        <v>117</v>
      </c>
      <c r="B60">
        <v>49</v>
      </c>
      <c r="C60">
        <v>60</v>
      </c>
      <c r="D60">
        <v>34</v>
      </c>
      <c r="E60">
        <v>37</v>
      </c>
      <c r="F60">
        <v>16</v>
      </c>
      <c r="G60">
        <v>17</v>
      </c>
      <c r="H60">
        <v>12</v>
      </c>
      <c r="I60">
        <f t="shared" si="0"/>
        <v>225</v>
      </c>
    </row>
    <row r="61" spans="1:9" x14ac:dyDescent="0.25">
      <c r="A61" t="s">
        <v>118</v>
      </c>
      <c r="B61">
        <v>99</v>
      </c>
      <c r="C61">
        <v>101</v>
      </c>
      <c r="D61">
        <v>3</v>
      </c>
      <c r="E61">
        <v>21</v>
      </c>
      <c r="F61">
        <v>20</v>
      </c>
      <c r="G61">
        <v>12</v>
      </c>
      <c r="H61">
        <v>15</v>
      </c>
      <c r="I61">
        <f t="shared" si="0"/>
        <v>271</v>
      </c>
    </row>
    <row r="62" spans="1:9" x14ac:dyDescent="0.25">
      <c r="A62" t="s">
        <v>119</v>
      </c>
      <c r="B62">
        <v>59</v>
      </c>
      <c r="C62">
        <v>121</v>
      </c>
      <c r="D62">
        <v>49</v>
      </c>
      <c r="E62">
        <v>16</v>
      </c>
      <c r="F62">
        <v>5</v>
      </c>
      <c r="G62">
        <v>2</v>
      </c>
      <c r="H62">
        <v>8</v>
      </c>
      <c r="I62">
        <f t="shared" si="0"/>
        <v>260</v>
      </c>
    </row>
    <row r="63" spans="1:9" x14ac:dyDescent="0.25">
      <c r="A63" t="s">
        <v>120</v>
      </c>
      <c r="B63">
        <v>79</v>
      </c>
      <c r="C63">
        <v>75</v>
      </c>
      <c r="D63">
        <v>3</v>
      </c>
      <c r="E63">
        <v>27</v>
      </c>
      <c r="F63">
        <v>14</v>
      </c>
      <c r="G63">
        <v>8</v>
      </c>
      <c r="H63">
        <v>10</v>
      </c>
      <c r="I63">
        <f t="shared" si="0"/>
        <v>216</v>
      </c>
    </row>
    <row r="64" spans="1:9" x14ac:dyDescent="0.25">
      <c r="A64" t="s">
        <v>121</v>
      </c>
      <c r="B64">
        <v>44</v>
      </c>
      <c r="C64">
        <v>134</v>
      </c>
      <c r="D64">
        <v>46</v>
      </c>
      <c r="E64">
        <v>25</v>
      </c>
      <c r="F64">
        <v>0</v>
      </c>
      <c r="G64">
        <v>0</v>
      </c>
      <c r="H64">
        <v>7</v>
      </c>
      <c r="I64">
        <f t="shared" si="0"/>
        <v>256</v>
      </c>
    </row>
    <row r="65" spans="1:9" x14ac:dyDescent="0.25">
      <c r="A65" t="s">
        <v>122</v>
      </c>
      <c r="B65">
        <v>89</v>
      </c>
      <c r="C65">
        <v>150</v>
      </c>
      <c r="D65">
        <v>58</v>
      </c>
      <c r="E65">
        <v>27</v>
      </c>
      <c r="F65">
        <v>10</v>
      </c>
      <c r="G65">
        <v>2</v>
      </c>
      <c r="H65">
        <v>10</v>
      </c>
      <c r="I65">
        <f t="shared" si="0"/>
        <v>346</v>
      </c>
    </row>
    <row r="66" spans="1:9" x14ac:dyDescent="0.25">
      <c r="A66" t="s">
        <v>123</v>
      </c>
      <c r="B66">
        <v>56</v>
      </c>
      <c r="C66">
        <v>70</v>
      </c>
      <c r="D66">
        <v>33</v>
      </c>
      <c r="E66">
        <v>32</v>
      </c>
      <c r="F66">
        <v>10</v>
      </c>
      <c r="G66">
        <v>15</v>
      </c>
      <c r="H66">
        <v>14</v>
      </c>
      <c r="I66">
        <f t="shared" si="0"/>
        <v>230</v>
      </c>
    </row>
    <row r="67" spans="1:9" x14ac:dyDescent="0.25">
      <c r="A67" t="s">
        <v>125</v>
      </c>
      <c r="B67">
        <v>39</v>
      </c>
      <c r="C67">
        <v>110</v>
      </c>
      <c r="D67">
        <v>23</v>
      </c>
      <c r="E67">
        <v>19</v>
      </c>
      <c r="F67">
        <v>5</v>
      </c>
      <c r="G67">
        <v>5</v>
      </c>
      <c r="H67">
        <v>7</v>
      </c>
      <c r="I67">
        <f t="shared" ref="I67:I130" si="1">SUM(B67:H67)</f>
        <v>208</v>
      </c>
    </row>
    <row r="68" spans="1:9" x14ac:dyDescent="0.25">
      <c r="A68" t="s">
        <v>126</v>
      </c>
      <c r="B68">
        <v>33</v>
      </c>
      <c r="C68">
        <v>137</v>
      </c>
      <c r="D68">
        <v>29</v>
      </c>
      <c r="E68">
        <v>27</v>
      </c>
      <c r="F68">
        <v>22</v>
      </c>
      <c r="G68">
        <v>13</v>
      </c>
      <c r="H68">
        <v>14</v>
      </c>
      <c r="I68">
        <f t="shared" si="1"/>
        <v>275</v>
      </c>
    </row>
    <row r="69" spans="1:9" x14ac:dyDescent="0.25">
      <c r="A69" t="s">
        <v>127</v>
      </c>
      <c r="B69">
        <v>57</v>
      </c>
      <c r="C69">
        <v>122</v>
      </c>
      <c r="D69">
        <v>54</v>
      </c>
      <c r="E69">
        <v>26</v>
      </c>
      <c r="F69">
        <v>12</v>
      </c>
      <c r="G69">
        <v>19</v>
      </c>
      <c r="H69">
        <v>10</v>
      </c>
      <c r="I69">
        <f t="shared" si="1"/>
        <v>300</v>
      </c>
    </row>
    <row r="70" spans="1:9" x14ac:dyDescent="0.25">
      <c r="A70" t="s">
        <v>129</v>
      </c>
      <c r="B70">
        <v>22</v>
      </c>
      <c r="C70">
        <v>83</v>
      </c>
      <c r="D70">
        <v>14</v>
      </c>
      <c r="E70">
        <v>27</v>
      </c>
      <c r="F70">
        <v>16</v>
      </c>
      <c r="G70">
        <v>17</v>
      </c>
      <c r="H70">
        <v>15</v>
      </c>
      <c r="I70">
        <f t="shared" si="1"/>
        <v>194</v>
      </c>
    </row>
    <row r="71" spans="1:9" x14ac:dyDescent="0.25">
      <c r="A71" t="s">
        <v>130</v>
      </c>
      <c r="B71">
        <v>93</v>
      </c>
      <c r="C71">
        <v>60</v>
      </c>
      <c r="D71">
        <v>39</v>
      </c>
      <c r="E71">
        <v>32</v>
      </c>
      <c r="F71">
        <v>21</v>
      </c>
      <c r="G71">
        <v>1</v>
      </c>
      <c r="H71">
        <v>4</v>
      </c>
      <c r="I71">
        <f t="shared" si="1"/>
        <v>250</v>
      </c>
    </row>
    <row r="72" spans="1:9" x14ac:dyDescent="0.25">
      <c r="A72" t="s">
        <v>131</v>
      </c>
      <c r="B72">
        <v>91</v>
      </c>
      <c r="C72">
        <v>90</v>
      </c>
      <c r="D72">
        <v>6</v>
      </c>
      <c r="E72">
        <v>29</v>
      </c>
      <c r="F72">
        <v>6</v>
      </c>
      <c r="G72">
        <v>11</v>
      </c>
      <c r="H72">
        <v>0</v>
      </c>
      <c r="I72">
        <f t="shared" si="1"/>
        <v>233</v>
      </c>
    </row>
    <row r="73" spans="1:9" x14ac:dyDescent="0.25">
      <c r="A73" t="s">
        <v>132</v>
      </c>
      <c r="B73">
        <v>99</v>
      </c>
      <c r="C73">
        <v>139</v>
      </c>
      <c r="D73">
        <v>36</v>
      </c>
      <c r="E73">
        <v>21</v>
      </c>
      <c r="F73">
        <v>2</v>
      </c>
      <c r="G73">
        <v>4</v>
      </c>
      <c r="H73">
        <v>9</v>
      </c>
      <c r="I73">
        <f t="shared" si="1"/>
        <v>310</v>
      </c>
    </row>
    <row r="74" spans="1:9" x14ac:dyDescent="0.25">
      <c r="A74" t="s">
        <v>133</v>
      </c>
      <c r="B74">
        <v>55</v>
      </c>
      <c r="C74">
        <v>145</v>
      </c>
      <c r="D74">
        <v>60</v>
      </c>
      <c r="E74">
        <v>10</v>
      </c>
      <c r="F74">
        <v>15</v>
      </c>
      <c r="G74">
        <v>3</v>
      </c>
      <c r="H74">
        <v>2</v>
      </c>
      <c r="I74">
        <f t="shared" si="1"/>
        <v>290</v>
      </c>
    </row>
    <row r="75" spans="1:9" x14ac:dyDescent="0.25">
      <c r="A75" t="s">
        <v>134</v>
      </c>
      <c r="B75">
        <v>52</v>
      </c>
      <c r="C75">
        <v>103</v>
      </c>
      <c r="D75">
        <v>6</v>
      </c>
      <c r="E75">
        <v>19</v>
      </c>
      <c r="F75">
        <v>4</v>
      </c>
      <c r="G75">
        <v>4</v>
      </c>
      <c r="H75">
        <v>11</v>
      </c>
      <c r="I75">
        <f t="shared" si="1"/>
        <v>199</v>
      </c>
    </row>
    <row r="76" spans="1:9" x14ac:dyDescent="0.25">
      <c r="A76" t="s">
        <v>135</v>
      </c>
      <c r="B76">
        <v>78</v>
      </c>
      <c r="C76">
        <v>121</v>
      </c>
      <c r="D76">
        <v>28</v>
      </c>
      <c r="E76">
        <v>8</v>
      </c>
      <c r="F76">
        <v>5</v>
      </c>
      <c r="G76">
        <v>8</v>
      </c>
      <c r="H76">
        <v>13</v>
      </c>
      <c r="I76">
        <f t="shared" si="1"/>
        <v>261</v>
      </c>
    </row>
    <row r="77" spans="1:9" x14ac:dyDescent="0.25">
      <c r="A77" t="s">
        <v>136</v>
      </c>
      <c r="B77">
        <v>78</v>
      </c>
      <c r="C77">
        <v>116</v>
      </c>
      <c r="D77">
        <v>43</v>
      </c>
      <c r="E77">
        <v>16</v>
      </c>
      <c r="F77">
        <v>22</v>
      </c>
      <c r="G77">
        <v>13</v>
      </c>
      <c r="H77">
        <v>5</v>
      </c>
      <c r="I77">
        <f t="shared" si="1"/>
        <v>293</v>
      </c>
    </row>
    <row r="78" spans="1:9" x14ac:dyDescent="0.25">
      <c r="A78" t="s">
        <v>137</v>
      </c>
      <c r="B78">
        <v>107</v>
      </c>
      <c r="C78">
        <v>58</v>
      </c>
      <c r="D78">
        <v>36</v>
      </c>
      <c r="E78">
        <v>15</v>
      </c>
      <c r="F78">
        <v>25</v>
      </c>
      <c r="G78">
        <v>20</v>
      </c>
      <c r="H78">
        <v>1</v>
      </c>
      <c r="I78">
        <f t="shared" si="1"/>
        <v>262</v>
      </c>
    </row>
    <row r="79" spans="1:9" x14ac:dyDescent="0.25">
      <c r="A79" t="s">
        <v>138</v>
      </c>
      <c r="B79">
        <v>69</v>
      </c>
      <c r="C79">
        <v>56</v>
      </c>
      <c r="D79">
        <v>19</v>
      </c>
      <c r="E79">
        <v>13</v>
      </c>
      <c r="F79">
        <v>17</v>
      </c>
      <c r="G79">
        <v>15</v>
      </c>
      <c r="H79">
        <v>7</v>
      </c>
      <c r="I79">
        <f t="shared" si="1"/>
        <v>196</v>
      </c>
    </row>
    <row r="80" spans="1:9" x14ac:dyDescent="0.25">
      <c r="A80" t="s">
        <v>139</v>
      </c>
      <c r="B80">
        <v>67</v>
      </c>
      <c r="C80">
        <v>82</v>
      </c>
      <c r="D80">
        <v>7</v>
      </c>
      <c r="E80">
        <v>24</v>
      </c>
      <c r="F80">
        <v>10</v>
      </c>
      <c r="G80">
        <v>6</v>
      </c>
      <c r="H80">
        <v>3</v>
      </c>
      <c r="I80">
        <f t="shared" si="1"/>
        <v>199</v>
      </c>
    </row>
    <row r="81" spans="1:9" x14ac:dyDescent="0.25">
      <c r="A81" t="s">
        <v>140</v>
      </c>
      <c r="B81">
        <v>72</v>
      </c>
      <c r="C81">
        <v>79</v>
      </c>
      <c r="D81">
        <v>7</v>
      </c>
      <c r="E81">
        <v>22</v>
      </c>
      <c r="F81">
        <v>13</v>
      </c>
      <c r="G81">
        <v>12</v>
      </c>
      <c r="H81">
        <v>15</v>
      </c>
      <c r="I81">
        <f t="shared" si="1"/>
        <v>220</v>
      </c>
    </row>
    <row r="82" spans="1:9" x14ac:dyDescent="0.25">
      <c r="A82" t="s">
        <v>141</v>
      </c>
      <c r="B82">
        <v>107</v>
      </c>
      <c r="C82">
        <v>80</v>
      </c>
      <c r="D82">
        <v>12</v>
      </c>
      <c r="E82">
        <v>17</v>
      </c>
      <c r="F82">
        <v>14</v>
      </c>
      <c r="G82">
        <v>18</v>
      </c>
      <c r="H82">
        <v>10</v>
      </c>
      <c r="I82">
        <f t="shared" si="1"/>
        <v>258</v>
      </c>
    </row>
    <row r="83" spans="1:9" x14ac:dyDescent="0.25">
      <c r="A83" t="s">
        <v>142</v>
      </c>
      <c r="B83">
        <v>34</v>
      </c>
      <c r="C83">
        <v>106</v>
      </c>
      <c r="D83">
        <v>29</v>
      </c>
      <c r="E83">
        <v>20</v>
      </c>
      <c r="F83">
        <v>17</v>
      </c>
      <c r="G83">
        <v>12</v>
      </c>
      <c r="H83">
        <v>4</v>
      </c>
      <c r="I83">
        <f t="shared" si="1"/>
        <v>222</v>
      </c>
    </row>
    <row r="84" spans="1:9" x14ac:dyDescent="0.25">
      <c r="A84" t="s">
        <v>143</v>
      </c>
      <c r="B84">
        <v>48</v>
      </c>
      <c r="C84">
        <v>87</v>
      </c>
      <c r="D84">
        <v>27</v>
      </c>
      <c r="E84">
        <v>40</v>
      </c>
      <c r="F84">
        <v>14</v>
      </c>
      <c r="G84">
        <v>2</v>
      </c>
      <c r="H84">
        <v>15</v>
      </c>
      <c r="I84">
        <f t="shared" si="1"/>
        <v>233</v>
      </c>
    </row>
    <row r="85" spans="1:9" x14ac:dyDescent="0.25">
      <c r="A85" t="s">
        <v>144</v>
      </c>
      <c r="B85">
        <v>46</v>
      </c>
      <c r="C85">
        <v>127</v>
      </c>
      <c r="D85">
        <v>30</v>
      </c>
      <c r="E85">
        <v>39</v>
      </c>
      <c r="F85">
        <v>12</v>
      </c>
      <c r="G85">
        <v>4</v>
      </c>
      <c r="H85">
        <v>10</v>
      </c>
      <c r="I85">
        <f t="shared" si="1"/>
        <v>268</v>
      </c>
    </row>
    <row r="86" spans="1:9" x14ac:dyDescent="0.25">
      <c r="A86" t="s">
        <v>145</v>
      </c>
      <c r="B86">
        <v>110</v>
      </c>
      <c r="C86">
        <v>112</v>
      </c>
      <c r="D86">
        <v>52</v>
      </c>
      <c r="E86">
        <v>35</v>
      </c>
      <c r="F86">
        <v>4</v>
      </c>
      <c r="G86">
        <v>15</v>
      </c>
      <c r="H86">
        <v>12</v>
      </c>
      <c r="I86">
        <f t="shared" si="1"/>
        <v>340</v>
      </c>
    </row>
    <row r="87" spans="1:9" x14ac:dyDescent="0.25">
      <c r="A87" t="s">
        <v>146</v>
      </c>
      <c r="B87">
        <v>49</v>
      </c>
      <c r="C87">
        <v>118</v>
      </c>
      <c r="D87">
        <v>11</v>
      </c>
      <c r="E87">
        <v>8</v>
      </c>
      <c r="F87">
        <v>19</v>
      </c>
      <c r="G87">
        <v>1</v>
      </c>
      <c r="H87">
        <v>0</v>
      </c>
      <c r="I87">
        <f t="shared" si="1"/>
        <v>206</v>
      </c>
    </row>
    <row r="88" spans="1:9" x14ac:dyDescent="0.25">
      <c r="A88" t="s">
        <v>147</v>
      </c>
      <c r="B88">
        <v>66</v>
      </c>
      <c r="C88">
        <v>101</v>
      </c>
      <c r="D88">
        <v>49</v>
      </c>
      <c r="E88">
        <v>18</v>
      </c>
      <c r="F88">
        <v>23</v>
      </c>
      <c r="G88">
        <v>1</v>
      </c>
      <c r="H88">
        <v>1</v>
      </c>
      <c r="I88">
        <f t="shared" si="1"/>
        <v>259</v>
      </c>
    </row>
    <row r="89" spans="1:9" x14ac:dyDescent="0.25">
      <c r="A89" t="s">
        <v>148</v>
      </c>
      <c r="B89">
        <v>47</v>
      </c>
      <c r="C89">
        <v>108</v>
      </c>
      <c r="D89">
        <v>14</v>
      </c>
      <c r="E89">
        <v>9</v>
      </c>
      <c r="F89">
        <v>8</v>
      </c>
      <c r="G89">
        <v>6</v>
      </c>
      <c r="H89">
        <v>3</v>
      </c>
      <c r="I89">
        <f t="shared" si="1"/>
        <v>195</v>
      </c>
    </row>
    <row r="90" spans="1:9" x14ac:dyDescent="0.25">
      <c r="A90" t="s">
        <v>149</v>
      </c>
      <c r="B90">
        <v>28</v>
      </c>
      <c r="C90">
        <v>97</v>
      </c>
      <c r="D90">
        <v>46</v>
      </c>
      <c r="E90">
        <v>14</v>
      </c>
      <c r="F90">
        <v>14</v>
      </c>
      <c r="G90">
        <v>18</v>
      </c>
      <c r="H90">
        <v>11</v>
      </c>
      <c r="I90">
        <f t="shared" si="1"/>
        <v>228</v>
      </c>
    </row>
    <row r="91" spans="1:9" x14ac:dyDescent="0.25">
      <c r="A91" t="s">
        <v>150</v>
      </c>
      <c r="B91">
        <v>24</v>
      </c>
      <c r="C91">
        <v>50</v>
      </c>
      <c r="D91">
        <v>9</v>
      </c>
      <c r="E91">
        <v>24</v>
      </c>
      <c r="F91">
        <v>13</v>
      </c>
      <c r="G91">
        <v>8</v>
      </c>
      <c r="H91">
        <v>4</v>
      </c>
      <c r="I91">
        <f t="shared" si="1"/>
        <v>132</v>
      </c>
    </row>
    <row r="92" spans="1:9" x14ac:dyDescent="0.25">
      <c r="A92" t="s">
        <v>151</v>
      </c>
      <c r="B92">
        <v>38</v>
      </c>
      <c r="C92">
        <v>124</v>
      </c>
      <c r="D92">
        <v>8</v>
      </c>
      <c r="E92">
        <v>36</v>
      </c>
      <c r="F92">
        <v>19</v>
      </c>
      <c r="G92">
        <v>5</v>
      </c>
      <c r="H92">
        <v>12</v>
      </c>
      <c r="I92">
        <f t="shared" si="1"/>
        <v>242</v>
      </c>
    </row>
    <row r="93" spans="1:9" x14ac:dyDescent="0.25">
      <c r="A93" t="s">
        <v>152</v>
      </c>
      <c r="B93">
        <v>25</v>
      </c>
      <c r="C93">
        <v>79</v>
      </c>
      <c r="D93">
        <v>33</v>
      </c>
      <c r="E93">
        <v>15</v>
      </c>
      <c r="F93">
        <v>25</v>
      </c>
      <c r="G93">
        <v>6</v>
      </c>
      <c r="H93">
        <v>10</v>
      </c>
      <c r="I93">
        <f t="shared" si="1"/>
        <v>193</v>
      </c>
    </row>
    <row r="94" spans="1:9" x14ac:dyDescent="0.25">
      <c r="A94" t="s">
        <v>153</v>
      </c>
      <c r="B94">
        <v>117</v>
      </c>
      <c r="C94">
        <v>102</v>
      </c>
      <c r="D94">
        <v>10</v>
      </c>
      <c r="E94">
        <v>39</v>
      </c>
      <c r="F94">
        <v>15</v>
      </c>
      <c r="G94">
        <v>7</v>
      </c>
      <c r="H94">
        <v>3</v>
      </c>
      <c r="I94">
        <f t="shared" si="1"/>
        <v>293</v>
      </c>
    </row>
    <row r="95" spans="1:9" x14ac:dyDescent="0.25">
      <c r="A95" t="s">
        <v>154</v>
      </c>
      <c r="B95">
        <v>83</v>
      </c>
      <c r="C95">
        <v>118</v>
      </c>
      <c r="D95">
        <v>8</v>
      </c>
      <c r="E95">
        <v>37</v>
      </c>
      <c r="F95">
        <v>8</v>
      </c>
      <c r="G95">
        <v>0</v>
      </c>
      <c r="H95">
        <v>15</v>
      </c>
      <c r="I95">
        <f t="shared" si="1"/>
        <v>269</v>
      </c>
    </row>
    <row r="96" spans="1:9" x14ac:dyDescent="0.25">
      <c r="A96" t="s">
        <v>155</v>
      </c>
      <c r="B96">
        <v>115</v>
      </c>
      <c r="C96">
        <v>89</v>
      </c>
      <c r="D96">
        <v>33</v>
      </c>
      <c r="E96">
        <v>33</v>
      </c>
      <c r="F96">
        <v>6</v>
      </c>
      <c r="G96">
        <v>13</v>
      </c>
      <c r="H96">
        <v>3</v>
      </c>
      <c r="I96">
        <f t="shared" si="1"/>
        <v>292</v>
      </c>
    </row>
    <row r="97" spans="1:9" x14ac:dyDescent="0.25">
      <c r="A97" t="s">
        <v>156</v>
      </c>
      <c r="B97">
        <v>112</v>
      </c>
      <c r="C97">
        <v>56</v>
      </c>
      <c r="D97">
        <v>10</v>
      </c>
      <c r="E97">
        <v>7</v>
      </c>
      <c r="F97">
        <v>13</v>
      </c>
      <c r="G97">
        <v>11</v>
      </c>
      <c r="H97">
        <v>15</v>
      </c>
      <c r="I97">
        <f t="shared" si="1"/>
        <v>224</v>
      </c>
    </row>
    <row r="98" spans="1:9" x14ac:dyDescent="0.25">
      <c r="A98" t="s">
        <v>157</v>
      </c>
      <c r="B98">
        <v>108</v>
      </c>
      <c r="C98">
        <v>63</v>
      </c>
      <c r="D98">
        <v>2</v>
      </c>
      <c r="E98">
        <v>34</v>
      </c>
      <c r="F98">
        <v>22</v>
      </c>
      <c r="G98">
        <v>7</v>
      </c>
      <c r="H98">
        <v>5</v>
      </c>
      <c r="I98">
        <f t="shared" si="1"/>
        <v>241</v>
      </c>
    </row>
    <row r="99" spans="1:9" x14ac:dyDescent="0.25">
      <c r="A99" t="s">
        <v>158</v>
      </c>
      <c r="B99">
        <v>26</v>
      </c>
      <c r="C99">
        <v>129</v>
      </c>
      <c r="D99">
        <v>16</v>
      </c>
      <c r="E99">
        <v>29</v>
      </c>
      <c r="F99">
        <v>3</v>
      </c>
      <c r="G99">
        <v>2</v>
      </c>
      <c r="H99">
        <v>13</v>
      </c>
      <c r="I99">
        <f t="shared" si="1"/>
        <v>218</v>
      </c>
    </row>
    <row r="100" spans="1:9" x14ac:dyDescent="0.25">
      <c r="A100" t="s">
        <v>159</v>
      </c>
      <c r="B100">
        <v>46</v>
      </c>
      <c r="C100">
        <v>116</v>
      </c>
      <c r="D100">
        <v>20</v>
      </c>
      <c r="E100">
        <v>20</v>
      </c>
      <c r="F100">
        <v>9</v>
      </c>
      <c r="G100">
        <v>7</v>
      </c>
      <c r="H100">
        <v>8</v>
      </c>
      <c r="I100">
        <f t="shared" si="1"/>
        <v>226</v>
      </c>
    </row>
    <row r="101" spans="1:9" x14ac:dyDescent="0.25">
      <c r="A101" t="s">
        <v>160</v>
      </c>
      <c r="B101">
        <v>85</v>
      </c>
      <c r="C101">
        <v>78</v>
      </c>
      <c r="D101">
        <v>0</v>
      </c>
      <c r="E101">
        <v>23</v>
      </c>
      <c r="F101">
        <v>0</v>
      </c>
      <c r="G101">
        <v>20</v>
      </c>
      <c r="H101">
        <v>2</v>
      </c>
      <c r="I101">
        <f t="shared" si="1"/>
        <v>208</v>
      </c>
    </row>
    <row r="102" spans="1:9" x14ac:dyDescent="0.25">
      <c r="A102" t="s">
        <v>161</v>
      </c>
      <c r="B102">
        <v>83</v>
      </c>
      <c r="C102">
        <v>132</v>
      </c>
      <c r="D102">
        <v>45</v>
      </c>
      <c r="E102">
        <v>19</v>
      </c>
      <c r="F102">
        <v>13</v>
      </c>
      <c r="G102">
        <v>7</v>
      </c>
      <c r="H102">
        <v>15</v>
      </c>
      <c r="I102">
        <f t="shared" si="1"/>
        <v>314</v>
      </c>
    </row>
    <row r="103" spans="1:9" x14ac:dyDescent="0.25">
      <c r="A103" t="s">
        <v>162</v>
      </c>
      <c r="B103">
        <v>40</v>
      </c>
      <c r="C103">
        <v>88</v>
      </c>
      <c r="D103">
        <v>16</v>
      </c>
      <c r="E103">
        <v>24</v>
      </c>
      <c r="F103">
        <v>4</v>
      </c>
      <c r="G103">
        <v>13</v>
      </c>
      <c r="H103">
        <v>11</v>
      </c>
      <c r="I103">
        <f t="shared" si="1"/>
        <v>196</v>
      </c>
    </row>
    <row r="104" spans="1:9" x14ac:dyDescent="0.25">
      <c r="A104" t="s">
        <v>163</v>
      </c>
      <c r="B104">
        <v>35</v>
      </c>
      <c r="C104">
        <v>92</v>
      </c>
      <c r="D104">
        <v>6</v>
      </c>
      <c r="E104">
        <v>5</v>
      </c>
      <c r="F104">
        <v>5</v>
      </c>
      <c r="G104">
        <v>16</v>
      </c>
      <c r="H104">
        <v>11</v>
      </c>
      <c r="I104">
        <f t="shared" si="1"/>
        <v>170</v>
      </c>
    </row>
    <row r="105" spans="1:9" x14ac:dyDescent="0.25">
      <c r="A105" t="s">
        <v>164</v>
      </c>
      <c r="B105">
        <v>48</v>
      </c>
      <c r="C105">
        <v>77</v>
      </c>
      <c r="D105">
        <v>11</v>
      </c>
      <c r="E105">
        <v>15</v>
      </c>
      <c r="F105">
        <v>23</v>
      </c>
      <c r="G105">
        <v>16</v>
      </c>
      <c r="H105">
        <v>15</v>
      </c>
      <c r="I105">
        <f t="shared" si="1"/>
        <v>205</v>
      </c>
    </row>
    <row r="106" spans="1:9" x14ac:dyDescent="0.25">
      <c r="A106" t="s">
        <v>165</v>
      </c>
      <c r="B106">
        <v>64</v>
      </c>
      <c r="C106">
        <v>51</v>
      </c>
      <c r="D106">
        <v>13</v>
      </c>
      <c r="E106">
        <v>25</v>
      </c>
      <c r="F106">
        <v>8</v>
      </c>
      <c r="G106">
        <v>13</v>
      </c>
      <c r="H106">
        <v>15</v>
      </c>
      <c r="I106">
        <f t="shared" si="1"/>
        <v>189</v>
      </c>
    </row>
    <row r="107" spans="1:9" x14ac:dyDescent="0.25">
      <c r="A107" t="s">
        <v>166</v>
      </c>
      <c r="B107">
        <v>38</v>
      </c>
      <c r="C107">
        <v>71</v>
      </c>
      <c r="D107">
        <v>43</v>
      </c>
      <c r="E107">
        <v>28</v>
      </c>
      <c r="F107">
        <v>0</v>
      </c>
      <c r="G107">
        <v>7</v>
      </c>
      <c r="H107">
        <v>2</v>
      </c>
      <c r="I107">
        <f t="shared" si="1"/>
        <v>189</v>
      </c>
    </row>
    <row r="108" spans="1:9" x14ac:dyDescent="0.25">
      <c r="A108" t="s">
        <v>167</v>
      </c>
      <c r="B108">
        <v>46</v>
      </c>
      <c r="C108">
        <v>117</v>
      </c>
      <c r="D108">
        <v>54</v>
      </c>
      <c r="E108">
        <v>21</v>
      </c>
      <c r="F108">
        <v>1</v>
      </c>
      <c r="G108">
        <v>17</v>
      </c>
      <c r="H108">
        <v>12</v>
      </c>
      <c r="I108">
        <f t="shared" si="1"/>
        <v>268</v>
      </c>
    </row>
    <row r="109" spans="1:9" x14ac:dyDescent="0.25">
      <c r="A109" t="s">
        <v>168</v>
      </c>
      <c r="B109">
        <v>113</v>
      </c>
      <c r="C109">
        <v>55</v>
      </c>
      <c r="D109">
        <v>11</v>
      </c>
      <c r="E109">
        <v>10</v>
      </c>
      <c r="F109">
        <v>17</v>
      </c>
      <c r="G109">
        <v>11</v>
      </c>
      <c r="H109">
        <v>0</v>
      </c>
      <c r="I109">
        <f t="shared" si="1"/>
        <v>217</v>
      </c>
    </row>
    <row r="110" spans="1:9" x14ac:dyDescent="0.25">
      <c r="A110" t="s">
        <v>169</v>
      </c>
      <c r="B110">
        <v>83</v>
      </c>
      <c r="C110">
        <v>86</v>
      </c>
      <c r="D110">
        <v>53</v>
      </c>
      <c r="E110">
        <v>16</v>
      </c>
      <c r="F110">
        <v>6</v>
      </c>
      <c r="G110">
        <v>16</v>
      </c>
      <c r="H110">
        <v>10</v>
      </c>
      <c r="I110">
        <f t="shared" si="1"/>
        <v>270</v>
      </c>
    </row>
    <row r="111" spans="1:9" x14ac:dyDescent="0.25">
      <c r="A111" t="s">
        <v>170</v>
      </c>
      <c r="B111">
        <v>62</v>
      </c>
      <c r="C111">
        <v>62</v>
      </c>
      <c r="D111">
        <v>7</v>
      </c>
      <c r="E111">
        <v>16</v>
      </c>
      <c r="F111">
        <v>1</v>
      </c>
      <c r="G111">
        <v>12</v>
      </c>
      <c r="H111">
        <v>4</v>
      </c>
      <c r="I111">
        <f t="shared" si="1"/>
        <v>164</v>
      </c>
    </row>
    <row r="112" spans="1:9" x14ac:dyDescent="0.25">
      <c r="A112" t="s">
        <v>171</v>
      </c>
      <c r="B112">
        <v>74</v>
      </c>
      <c r="C112">
        <v>78</v>
      </c>
      <c r="D112">
        <v>41</v>
      </c>
      <c r="E112">
        <v>39</v>
      </c>
      <c r="F112">
        <v>18</v>
      </c>
      <c r="G112">
        <v>7</v>
      </c>
      <c r="H112">
        <v>9</v>
      </c>
      <c r="I112">
        <f t="shared" si="1"/>
        <v>266</v>
      </c>
    </row>
    <row r="113" spans="1:9" x14ac:dyDescent="0.25">
      <c r="A113" t="s">
        <v>172</v>
      </c>
      <c r="B113">
        <v>59</v>
      </c>
      <c r="C113">
        <v>53</v>
      </c>
      <c r="D113">
        <v>15</v>
      </c>
      <c r="E113">
        <v>20</v>
      </c>
      <c r="F113">
        <v>10</v>
      </c>
      <c r="G113">
        <v>6</v>
      </c>
      <c r="H113">
        <v>10</v>
      </c>
      <c r="I113">
        <f t="shared" si="1"/>
        <v>173</v>
      </c>
    </row>
    <row r="114" spans="1:9" x14ac:dyDescent="0.25">
      <c r="A114" t="s">
        <v>173</v>
      </c>
      <c r="B114">
        <v>74</v>
      </c>
      <c r="C114">
        <v>57</v>
      </c>
      <c r="D114">
        <v>11</v>
      </c>
      <c r="E114">
        <v>40</v>
      </c>
      <c r="F114">
        <v>12</v>
      </c>
      <c r="G114">
        <v>5</v>
      </c>
      <c r="H114">
        <v>6</v>
      </c>
      <c r="I114">
        <f t="shared" si="1"/>
        <v>205</v>
      </c>
    </row>
    <row r="115" spans="1:9" x14ac:dyDescent="0.25">
      <c r="A115" t="s">
        <v>174</v>
      </c>
      <c r="B115">
        <v>119</v>
      </c>
      <c r="C115">
        <v>134</v>
      </c>
      <c r="D115">
        <v>41</v>
      </c>
      <c r="E115">
        <v>27</v>
      </c>
      <c r="F115">
        <v>24</v>
      </c>
      <c r="G115">
        <v>8</v>
      </c>
      <c r="H115">
        <v>13</v>
      </c>
      <c r="I115">
        <f t="shared" si="1"/>
        <v>366</v>
      </c>
    </row>
    <row r="116" spans="1:9" x14ac:dyDescent="0.25">
      <c r="A116" t="s">
        <v>175</v>
      </c>
      <c r="B116">
        <v>35</v>
      </c>
      <c r="C116">
        <v>99</v>
      </c>
      <c r="D116">
        <v>48</v>
      </c>
      <c r="E116">
        <v>33</v>
      </c>
      <c r="F116">
        <v>6</v>
      </c>
      <c r="G116">
        <v>20</v>
      </c>
      <c r="H116">
        <v>6</v>
      </c>
      <c r="I116">
        <f t="shared" si="1"/>
        <v>247</v>
      </c>
    </row>
    <row r="117" spans="1:9" x14ac:dyDescent="0.25">
      <c r="A117" t="s">
        <v>176</v>
      </c>
      <c r="B117">
        <v>116</v>
      </c>
      <c r="C117">
        <v>127</v>
      </c>
      <c r="D117">
        <v>54</v>
      </c>
      <c r="E117">
        <v>37</v>
      </c>
      <c r="F117">
        <v>20</v>
      </c>
      <c r="G117">
        <v>18</v>
      </c>
      <c r="H117">
        <v>5</v>
      </c>
      <c r="I117">
        <f t="shared" si="1"/>
        <v>377</v>
      </c>
    </row>
    <row r="118" spans="1:9" x14ac:dyDescent="0.25">
      <c r="A118" t="s">
        <v>177</v>
      </c>
      <c r="B118">
        <v>44</v>
      </c>
      <c r="C118">
        <v>62</v>
      </c>
      <c r="D118">
        <v>15</v>
      </c>
      <c r="E118">
        <v>9</v>
      </c>
      <c r="F118">
        <v>18</v>
      </c>
      <c r="G118">
        <v>16</v>
      </c>
      <c r="H118">
        <v>7</v>
      </c>
      <c r="I118">
        <f t="shared" si="1"/>
        <v>171</v>
      </c>
    </row>
    <row r="119" spans="1:9" x14ac:dyDescent="0.25">
      <c r="A119" t="s">
        <v>178</v>
      </c>
      <c r="B119">
        <v>84</v>
      </c>
      <c r="C119">
        <v>57</v>
      </c>
      <c r="D119">
        <v>56</v>
      </c>
      <c r="E119">
        <v>37</v>
      </c>
      <c r="F119">
        <v>4</v>
      </c>
      <c r="G119">
        <v>8</v>
      </c>
      <c r="H119">
        <v>8</v>
      </c>
      <c r="I119">
        <f t="shared" si="1"/>
        <v>254</v>
      </c>
    </row>
    <row r="120" spans="1:9" x14ac:dyDescent="0.25">
      <c r="A120" t="s">
        <v>179</v>
      </c>
      <c r="B120">
        <v>20</v>
      </c>
      <c r="C120">
        <v>60</v>
      </c>
      <c r="D120">
        <v>2</v>
      </c>
      <c r="E120">
        <v>33</v>
      </c>
      <c r="F120">
        <v>17</v>
      </c>
      <c r="G120">
        <v>2</v>
      </c>
      <c r="H120">
        <v>2</v>
      </c>
      <c r="I120">
        <f t="shared" si="1"/>
        <v>136</v>
      </c>
    </row>
    <row r="121" spans="1:9" x14ac:dyDescent="0.25">
      <c r="A121" t="s">
        <v>180</v>
      </c>
      <c r="B121">
        <v>92</v>
      </c>
      <c r="C121">
        <v>118</v>
      </c>
      <c r="D121">
        <v>53</v>
      </c>
      <c r="E121">
        <v>22</v>
      </c>
      <c r="F121">
        <v>12</v>
      </c>
      <c r="G121">
        <v>14</v>
      </c>
      <c r="H121">
        <v>12</v>
      </c>
      <c r="I121">
        <f t="shared" si="1"/>
        <v>323</v>
      </c>
    </row>
    <row r="122" spans="1:9" x14ac:dyDescent="0.25">
      <c r="A122" t="s">
        <v>181</v>
      </c>
      <c r="B122">
        <v>27</v>
      </c>
      <c r="C122">
        <v>74</v>
      </c>
      <c r="D122">
        <v>13</v>
      </c>
      <c r="E122">
        <v>25</v>
      </c>
      <c r="F122">
        <v>4</v>
      </c>
      <c r="G122">
        <v>5</v>
      </c>
      <c r="H122">
        <v>0</v>
      </c>
      <c r="I122">
        <f t="shared" si="1"/>
        <v>148</v>
      </c>
    </row>
    <row r="123" spans="1:9" x14ac:dyDescent="0.25">
      <c r="A123" t="s">
        <v>182</v>
      </c>
      <c r="B123">
        <v>66</v>
      </c>
      <c r="C123">
        <v>112</v>
      </c>
      <c r="D123">
        <v>57</v>
      </c>
      <c r="E123">
        <v>36</v>
      </c>
      <c r="F123">
        <v>16</v>
      </c>
      <c r="G123">
        <v>12</v>
      </c>
      <c r="H123">
        <v>1</v>
      </c>
      <c r="I123">
        <f t="shared" si="1"/>
        <v>300</v>
      </c>
    </row>
    <row r="124" spans="1:9" x14ac:dyDescent="0.25">
      <c r="A124" t="s">
        <v>183</v>
      </c>
      <c r="B124">
        <v>46</v>
      </c>
      <c r="C124">
        <v>93</v>
      </c>
      <c r="D124">
        <v>2</v>
      </c>
      <c r="E124">
        <v>18</v>
      </c>
      <c r="F124">
        <v>0</v>
      </c>
      <c r="G124">
        <v>18</v>
      </c>
      <c r="H124">
        <v>8</v>
      </c>
      <c r="I124">
        <f t="shared" si="1"/>
        <v>185</v>
      </c>
    </row>
    <row r="125" spans="1:9" x14ac:dyDescent="0.25">
      <c r="A125" t="s">
        <v>184</v>
      </c>
      <c r="B125">
        <v>56</v>
      </c>
      <c r="C125">
        <v>99</v>
      </c>
      <c r="D125">
        <v>20</v>
      </c>
      <c r="E125">
        <v>32</v>
      </c>
      <c r="F125">
        <v>17</v>
      </c>
      <c r="G125">
        <v>16</v>
      </c>
      <c r="H125">
        <v>0</v>
      </c>
      <c r="I125">
        <f t="shared" si="1"/>
        <v>240</v>
      </c>
    </row>
    <row r="126" spans="1:9" x14ac:dyDescent="0.25">
      <c r="A126" t="s">
        <v>185</v>
      </c>
      <c r="B126">
        <v>92</v>
      </c>
      <c r="C126">
        <v>116</v>
      </c>
      <c r="D126">
        <v>58</v>
      </c>
      <c r="E126">
        <v>35</v>
      </c>
      <c r="F126">
        <v>10</v>
      </c>
      <c r="G126">
        <v>11</v>
      </c>
      <c r="H126">
        <v>1</v>
      </c>
      <c r="I126">
        <f t="shared" si="1"/>
        <v>323</v>
      </c>
    </row>
    <row r="127" spans="1:9" x14ac:dyDescent="0.25">
      <c r="A127" t="s">
        <v>186</v>
      </c>
      <c r="B127">
        <v>63</v>
      </c>
      <c r="C127">
        <v>133</v>
      </c>
      <c r="D127">
        <v>2</v>
      </c>
      <c r="E127">
        <v>39</v>
      </c>
      <c r="F127">
        <v>9</v>
      </c>
      <c r="G127">
        <v>10</v>
      </c>
      <c r="H127">
        <v>2</v>
      </c>
      <c r="I127">
        <f t="shared" si="1"/>
        <v>258</v>
      </c>
    </row>
    <row r="128" spans="1:9" x14ac:dyDescent="0.25">
      <c r="A128" t="s">
        <v>187</v>
      </c>
      <c r="B128">
        <v>107</v>
      </c>
      <c r="C128">
        <v>128</v>
      </c>
      <c r="D128">
        <v>48</v>
      </c>
      <c r="E128">
        <v>40</v>
      </c>
      <c r="F128">
        <v>18</v>
      </c>
      <c r="G128">
        <v>15</v>
      </c>
      <c r="H128">
        <v>2</v>
      </c>
      <c r="I128">
        <f t="shared" si="1"/>
        <v>358</v>
      </c>
    </row>
    <row r="129" spans="1:9" x14ac:dyDescent="0.25">
      <c r="A129" t="s">
        <v>188</v>
      </c>
      <c r="B129">
        <v>74</v>
      </c>
      <c r="C129">
        <v>74</v>
      </c>
      <c r="D129">
        <v>26</v>
      </c>
      <c r="E129">
        <v>10</v>
      </c>
      <c r="F129">
        <v>23</v>
      </c>
      <c r="G129">
        <v>2</v>
      </c>
      <c r="H129">
        <v>1</v>
      </c>
      <c r="I129">
        <f t="shared" si="1"/>
        <v>210</v>
      </c>
    </row>
    <row r="130" spans="1:9" x14ac:dyDescent="0.25">
      <c r="A130" t="s">
        <v>189</v>
      </c>
      <c r="B130">
        <v>52</v>
      </c>
      <c r="C130">
        <v>62</v>
      </c>
      <c r="D130">
        <v>3</v>
      </c>
      <c r="E130">
        <v>21</v>
      </c>
      <c r="F130">
        <v>0</v>
      </c>
      <c r="G130">
        <v>16</v>
      </c>
      <c r="H130">
        <v>7</v>
      </c>
      <c r="I130">
        <f t="shared" si="1"/>
        <v>161</v>
      </c>
    </row>
    <row r="131" spans="1:9" x14ac:dyDescent="0.25">
      <c r="A131" t="s">
        <v>190</v>
      </c>
      <c r="B131">
        <v>34</v>
      </c>
      <c r="C131">
        <v>81</v>
      </c>
      <c r="D131">
        <v>52</v>
      </c>
      <c r="E131">
        <v>13</v>
      </c>
      <c r="F131">
        <v>2</v>
      </c>
      <c r="G131">
        <v>14</v>
      </c>
      <c r="H131">
        <v>4</v>
      </c>
      <c r="I131">
        <f t="shared" ref="I131:I181" si="2">SUM(B131:H131)</f>
        <v>200</v>
      </c>
    </row>
    <row r="132" spans="1:9" x14ac:dyDescent="0.25">
      <c r="A132" t="s">
        <v>191</v>
      </c>
      <c r="B132">
        <v>33</v>
      </c>
      <c r="C132">
        <v>58</v>
      </c>
      <c r="D132">
        <v>21</v>
      </c>
      <c r="E132">
        <v>18</v>
      </c>
      <c r="F132">
        <v>11</v>
      </c>
      <c r="G132">
        <v>13</v>
      </c>
      <c r="H132">
        <v>0</v>
      </c>
      <c r="I132">
        <f t="shared" si="2"/>
        <v>154</v>
      </c>
    </row>
    <row r="133" spans="1:9" x14ac:dyDescent="0.25">
      <c r="A133" t="s">
        <v>192</v>
      </c>
      <c r="B133">
        <v>54</v>
      </c>
      <c r="C133">
        <v>88</v>
      </c>
      <c r="D133">
        <v>55</v>
      </c>
      <c r="E133">
        <v>34</v>
      </c>
      <c r="F133">
        <v>6</v>
      </c>
      <c r="G133">
        <v>12</v>
      </c>
      <c r="H133">
        <v>10</v>
      </c>
      <c r="I133">
        <f t="shared" si="2"/>
        <v>259</v>
      </c>
    </row>
    <row r="134" spans="1:9" x14ac:dyDescent="0.25">
      <c r="A134" t="s">
        <v>193</v>
      </c>
      <c r="B134">
        <v>48</v>
      </c>
      <c r="C134">
        <v>127</v>
      </c>
      <c r="D134">
        <v>36</v>
      </c>
      <c r="E134">
        <v>30</v>
      </c>
      <c r="F134">
        <v>3</v>
      </c>
      <c r="G134">
        <v>9</v>
      </c>
      <c r="H134">
        <v>15</v>
      </c>
      <c r="I134">
        <f t="shared" si="2"/>
        <v>268</v>
      </c>
    </row>
    <row r="135" spans="1:9" x14ac:dyDescent="0.25">
      <c r="A135" t="s">
        <v>194</v>
      </c>
      <c r="B135">
        <v>39</v>
      </c>
      <c r="C135">
        <v>53</v>
      </c>
      <c r="D135">
        <v>1</v>
      </c>
      <c r="E135">
        <v>25</v>
      </c>
      <c r="F135">
        <v>7</v>
      </c>
      <c r="G135">
        <v>15</v>
      </c>
      <c r="H135">
        <v>11</v>
      </c>
      <c r="I135">
        <f t="shared" si="2"/>
        <v>151</v>
      </c>
    </row>
    <row r="136" spans="1:9" x14ac:dyDescent="0.25">
      <c r="A136" t="s">
        <v>195</v>
      </c>
      <c r="B136">
        <v>56</v>
      </c>
      <c r="C136">
        <v>95</v>
      </c>
      <c r="D136">
        <v>29</v>
      </c>
      <c r="E136">
        <v>13</v>
      </c>
      <c r="F136">
        <v>6</v>
      </c>
      <c r="G136">
        <v>19</v>
      </c>
      <c r="H136">
        <v>6</v>
      </c>
      <c r="I136">
        <f t="shared" si="2"/>
        <v>224</v>
      </c>
    </row>
    <row r="137" spans="1:9" x14ac:dyDescent="0.25">
      <c r="A137" t="s">
        <v>196</v>
      </c>
      <c r="B137">
        <v>88</v>
      </c>
      <c r="C137">
        <v>84</v>
      </c>
      <c r="D137">
        <v>53</v>
      </c>
      <c r="E137">
        <v>24</v>
      </c>
      <c r="F137">
        <v>19</v>
      </c>
      <c r="G137">
        <v>4</v>
      </c>
      <c r="H137">
        <v>9</v>
      </c>
      <c r="I137">
        <f t="shared" si="2"/>
        <v>281</v>
      </c>
    </row>
    <row r="138" spans="1:9" x14ac:dyDescent="0.25">
      <c r="A138" t="s">
        <v>197</v>
      </c>
      <c r="B138">
        <v>86</v>
      </c>
      <c r="C138">
        <v>67</v>
      </c>
      <c r="D138">
        <v>46</v>
      </c>
      <c r="E138">
        <v>26</v>
      </c>
      <c r="F138">
        <v>19</v>
      </c>
      <c r="G138">
        <v>1</v>
      </c>
      <c r="H138">
        <v>6</v>
      </c>
      <c r="I138">
        <f t="shared" si="2"/>
        <v>251</v>
      </c>
    </row>
    <row r="139" spans="1:9" x14ac:dyDescent="0.25">
      <c r="A139" t="s">
        <v>198</v>
      </c>
      <c r="B139">
        <v>58</v>
      </c>
      <c r="C139">
        <v>87</v>
      </c>
      <c r="D139">
        <v>34</v>
      </c>
      <c r="E139">
        <v>25</v>
      </c>
      <c r="F139">
        <v>0</v>
      </c>
      <c r="G139">
        <v>8</v>
      </c>
      <c r="H139">
        <v>4</v>
      </c>
      <c r="I139">
        <f t="shared" si="2"/>
        <v>216</v>
      </c>
    </row>
    <row r="140" spans="1:9" x14ac:dyDescent="0.25">
      <c r="A140" t="s">
        <v>199</v>
      </c>
      <c r="B140">
        <v>51</v>
      </c>
      <c r="C140">
        <v>136</v>
      </c>
      <c r="D140">
        <v>45</v>
      </c>
      <c r="E140">
        <v>24</v>
      </c>
      <c r="F140">
        <v>13</v>
      </c>
      <c r="G140">
        <v>15</v>
      </c>
      <c r="H140">
        <v>2</v>
      </c>
      <c r="I140">
        <f t="shared" si="2"/>
        <v>286</v>
      </c>
    </row>
    <row r="141" spans="1:9" x14ac:dyDescent="0.25">
      <c r="A141" t="s">
        <v>200</v>
      </c>
      <c r="B141">
        <v>69</v>
      </c>
      <c r="C141">
        <v>95</v>
      </c>
      <c r="D141">
        <v>53</v>
      </c>
      <c r="E141">
        <v>25</v>
      </c>
      <c r="F141">
        <v>12</v>
      </c>
      <c r="G141">
        <v>3</v>
      </c>
      <c r="H141">
        <v>0</v>
      </c>
      <c r="I141">
        <f t="shared" si="2"/>
        <v>257</v>
      </c>
    </row>
    <row r="142" spans="1:9" x14ac:dyDescent="0.25">
      <c r="A142" t="s">
        <v>201</v>
      </c>
      <c r="B142">
        <v>86</v>
      </c>
      <c r="C142">
        <v>50</v>
      </c>
      <c r="D142">
        <v>6</v>
      </c>
      <c r="E142">
        <v>26</v>
      </c>
      <c r="F142">
        <v>23</v>
      </c>
      <c r="G142">
        <v>19</v>
      </c>
      <c r="H142">
        <v>7</v>
      </c>
      <c r="I142">
        <f t="shared" si="2"/>
        <v>217</v>
      </c>
    </row>
    <row r="143" spans="1:9" x14ac:dyDescent="0.25">
      <c r="A143" t="s">
        <v>202</v>
      </c>
      <c r="B143">
        <v>119</v>
      </c>
      <c r="C143">
        <v>145</v>
      </c>
      <c r="D143">
        <v>13</v>
      </c>
      <c r="E143">
        <v>8</v>
      </c>
      <c r="F143">
        <v>16</v>
      </c>
      <c r="G143">
        <v>17</v>
      </c>
      <c r="H143">
        <v>4</v>
      </c>
      <c r="I143">
        <f t="shared" si="2"/>
        <v>322</v>
      </c>
    </row>
    <row r="144" spans="1:9" x14ac:dyDescent="0.25">
      <c r="A144" t="s">
        <v>203</v>
      </c>
      <c r="B144">
        <v>23</v>
      </c>
      <c r="C144">
        <v>137</v>
      </c>
      <c r="D144">
        <v>34</v>
      </c>
      <c r="E144">
        <v>10</v>
      </c>
      <c r="F144">
        <v>9</v>
      </c>
      <c r="G144">
        <v>8</v>
      </c>
      <c r="H144">
        <v>14</v>
      </c>
      <c r="I144">
        <f t="shared" si="2"/>
        <v>235</v>
      </c>
    </row>
    <row r="145" spans="1:9" x14ac:dyDescent="0.25">
      <c r="A145" t="s">
        <v>204</v>
      </c>
      <c r="B145">
        <v>23</v>
      </c>
      <c r="C145">
        <v>65</v>
      </c>
      <c r="D145">
        <v>57</v>
      </c>
      <c r="E145">
        <v>23</v>
      </c>
      <c r="F145">
        <v>19</v>
      </c>
      <c r="G145">
        <v>20</v>
      </c>
      <c r="H145">
        <v>11</v>
      </c>
      <c r="I145">
        <f t="shared" si="2"/>
        <v>218</v>
      </c>
    </row>
    <row r="146" spans="1:9" x14ac:dyDescent="0.25">
      <c r="A146" t="s">
        <v>205</v>
      </c>
      <c r="B146">
        <v>25</v>
      </c>
      <c r="C146">
        <v>120</v>
      </c>
      <c r="D146">
        <v>2</v>
      </c>
      <c r="E146">
        <v>19</v>
      </c>
      <c r="F146">
        <v>0</v>
      </c>
      <c r="G146">
        <v>3</v>
      </c>
      <c r="H146">
        <v>1</v>
      </c>
      <c r="I146">
        <f t="shared" si="2"/>
        <v>170</v>
      </c>
    </row>
    <row r="147" spans="1:9" x14ac:dyDescent="0.25">
      <c r="A147" t="s">
        <v>206</v>
      </c>
      <c r="B147">
        <v>56</v>
      </c>
      <c r="C147">
        <v>69</v>
      </c>
      <c r="D147">
        <v>56</v>
      </c>
      <c r="E147">
        <v>31</v>
      </c>
      <c r="F147">
        <v>20</v>
      </c>
      <c r="G147">
        <v>18</v>
      </c>
      <c r="H147">
        <v>11</v>
      </c>
      <c r="I147">
        <f t="shared" si="2"/>
        <v>261</v>
      </c>
    </row>
    <row r="148" spans="1:9" x14ac:dyDescent="0.25">
      <c r="A148" t="s">
        <v>207</v>
      </c>
      <c r="B148">
        <v>64</v>
      </c>
      <c r="C148">
        <v>67</v>
      </c>
      <c r="D148">
        <v>33</v>
      </c>
      <c r="E148">
        <v>25</v>
      </c>
      <c r="F148">
        <v>5</v>
      </c>
      <c r="G148">
        <v>12</v>
      </c>
      <c r="H148">
        <v>8</v>
      </c>
      <c r="I148">
        <f t="shared" si="2"/>
        <v>214</v>
      </c>
    </row>
    <row r="149" spans="1:9" x14ac:dyDescent="0.25">
      <c r="A149" t="s">
        <v>208</v>
      </c>
      <c r="B149">
        <v>50</v>
      </c>
      <c r="C149">
        <v>143</v>
      </c>
      <c r="D149">
        <v>55</v>
      </c>
      <c r="E149">
        <v>31</v>
      </c>
      <c r="F149">
        <v>18</v>
      </c>
      <c r="G149">
        <v>14</v>
      </c>
      <c r="H149">
        <v>6</v>
      </c>
      <c r="I149">
        <f t="shared" si="2"/>
        <v>317</v>
      </c>
    </row>
    <row r="150" spans="1:9" x14ac:dyDescent="0.25">
      <c r="A150" t="s">
        <v>209</v>
      </c>
      <c r="B150">
        <v>31</v>
      </c>
      <c r="C150">
        <v>59</v>
      </c>
      <c r="D150">
        <v>1</v>
      </c>
      <c r="E150">
        <v>11</v>
      </c>
      <c r="F150">
        <v>16</v>
      </c>
      <c r="G150">
        <v>7</v>
      </c>
      <c r="H150">
        <v>0</v>
      </c>
      <c r="I150">
        <f t="shared" si="2"/>
        <v>125</v>
      </c>
    </row>
    <row r="151" spans="1:9" x14ac:dyDescent="0.25">
      <c r="A151" t="s">
        <v>210</v>
      </c>
      <c r="B151">
        <v>56</v>
      </c>
      <c r="C151">
        <v>132</v>
      </c>
      <c r="D151">
        <v>38</v>
      </c>
      <c r="E151">
        <v>9</v>
      </c>
      <c r="F151">
        <v>9</v>
      </c>
      <c r="G151">
        <v>7</v>
      </c>
      <c r="H151">
        <v>14</v>
      </c>
      <c r="I151">
        <f t="shared" si="2"/>
        <v>265</v>
      </c>
    </row>
    <row r="152" spans="1:9" x14ac:dyDescent="0.25">
      <c r="A152" t="s">
        <v>211</v>
      </c>
      <c r="B152">
        <v>101</v>
      </c>
      <c r="C152">
        <v>145</v>
      </c>
      <c r="D152">
        <v>2</v>
      </c>
      <c r="E152">
        <v>13</v>
      </c>
      <c r="F152">
        <v>13</v>
      </c>
      <c r="G152">
        <v>10</v>
      </c>
      <c r="H152">
        <v>10</v>
      </c>
      <c r="I152">
        <f t="shared" si="2"/>
        <v>294</v>
      </c>
    </row>
    <row r="153" spans="1:9" x14ac:dyDescent="0.25">
      <c r="A153" t="s">
        <v>212</v>
      </c>
      <c r="B153">
        <v>47</v>
      </c>
      <c r="C153">
        <v>117</v>
      </c>
      <c r="D153">
        <v>43</v>
      </c>
      <c r="E153">
        <v>38</v>
      </c>
      <c r="F153">
        <v>11</v>
      </c>
      <c r="G153">
        <v>12</v>
      </c>
      <c r="H153">
        <v>2</v>
      </c>
      <c r="I153">
        <f t="shared" si="2"/>
        <v>270</v>
      </c>
    </row>
    <row r="154" spans="1:9" x14ac:dyDescent="0.25">
      <c r="A154" t="s">
        <v>213</v>
      </c>
      <c r="B154">
        <v>120</v>
      </c>
      <c r="C154">
        <v>59</v>
      </c>
      <c r="D154">
        <v>33</v>
      </c>
      <c r="E154">
        <v>21</v>
      </c>
      <c r="F154">
        <v>17</v>
      </c>
      <c r="G154">
        <v>12</v>
      </c>
      <c r="H154">
        <v>11</v>
      </c>
      <c r="I154">
        <f t="shared" si="2"/>
        <v>273</v>
      </c>
    </row>
    <row r="155" spans="1:9" x14ac:dyDescent="0.25">
      <c r="A155" t="s">
        <v>214</v>
      </c>
      <c r="B155">
        <v>36</v>
      </c>
      <c r="C155">
        <v>82</v>
      </c>
      <c r="D155">
        <v>3</v>
      </c>
      <c r="E155">
        <v>9</v>
      </c>
      <c r="F155">
        <v>14</v>
      </c>
      <c r="G155">
        <v>18</v>
      </c>
      <c r="H155">
        <v>10</v>
      </c>
      <c r="I155">
        <f t="shared" si="2"/>
        <v>172</v>
      </c>
    </row>
    <row r="156" spans="1:9" x14ac:dyDescent="0.25">
      <c r="A156" t="s">
        <v>215</v>
      </c>
      <c r="B156">
        <v>23</v>
      </c>
      <c r="C156">
        <v>109</v>
      </c>
      <c r="D156">
        <v>11</v>
      </c>
      <c r="E156">
        <v>37</v>
      </c>
      <c r="F156">
        <v>4</v>
      </c>
      <c r="G156">
        <v>16</v>
      </c>
      <c r="H156">
        <v>3</v>
      </c>
      <c r="I156">
        <f t="shared" si="2"/>
        <v>203</v>
      </c>
    </row>
    <row r="157" spans="1:9" x14ac:dyDescent="0.25">
      <c r="A157" t="s">
        <v>216</v>
      </c>
      <c r="B157">
        <v>99</v>
      </c>
      <c r="C157">
        <v>73</v>
      </c>
      <c r="D157">
        <v>8</v>
      </c>
      <c r="E157">
        <v>19</v>
      </c>
      <c r="F157">
        <v>15</v>
      </c>
      <c r="G157">
        <v>11</v>
      </c>
      <c r="H157">
        <v>8</v>
      </c>
      <c r="I157">
        <f t="shared" si="2"/>
        <v>233</v>
      </c>
    </row>
    <row r="158" spans="1:9" x14ac:dyDescent="0.25">
      <c r="A158" t="s">
        <v>217</v>
      </c>
      <c r="B158">
        <v>51</v>
      </c>
      <c r="C158">
        <v>121</v>
      </c>
      <c r="D158">
        <v>44</v>
      </c>
      <c r="E158">
        <v>39</v>
      </c>
      <c r="F158">
        <v>9</v>
      </c>
      <c r="G158">
        <v>16</v>
      </c>
      <c r="H158">
        <v>6</v>
      </c>
      <c r="I158">
        <f t="shared" si="2"/>
        <v>286</v>
      </c>
    </row>
    <row r="159" spans="1:9" x14ac:dyDescent="0.25">
      <c r="A159" t="s">
        <v>218</v>
      </c>
      <c r="B159">
        <v>44</v>
      </c>
      <c r="C159">
        <v>99</v>
      </c>
      <c r="D159">
        <v>47</v>
      </c>
      <c r="E159">
        <v>7</v>
      </c>
      <c r="F159">
        <v>8</v>
      </c>
      <c r="G159">
        <v>5</v>
      </c>
      <c r="H159">
        <v>15</v>
      </c>
      <c r="I159">
        <f t="shared" si="2"/>
        <v>225</v>
      </c>
    </row>
    <row r="160" spans="1:9" x14ac:dyDescent="0.25">
      <c r="A160" t="s">
        <v>219</v>
      </c>
      <c r="B160">
        <v>45</v>
      </c>
      <c r="C160">
        <v>61</v>
      </c>
      <c r="D160">
        <v>47</v>
      </c>
      <c r="E160">
        <v>31</v>
      </c>
      <c r="F160">
        <v>3</v>
      </c>
      <c r="G160">
        <v>16</v>
      </c>
      <c r="H160">
        <v>8</v>
      </c>
      <c r="I160">
        <f t="shared" si="2"/>
        <v>211</v>
      </c>
    </row>
    <row r="161" spans="1:9" x14ac:dyDescent="0.25">
      <c r="A161" t="s">
        <v>220</v>
      </c>
      <c r="B161">
        <v>104</v>
      </c>
      <c r="C161">
        <v>95</v>
      </c>
      <c r="D161">
        <v>9</v>
      </c>
      <c r="E161">
        <v>35</v>
      </c>
      <c r="F161">
        <v>2</v>
      </c>
      <c r="G161">
        <v>11</v>
      </c>
      <c r="H161">
        <v>13</v>
      </c>
      <c r="I161">
        <f t="shared" si="2"/>
        <v>269</v>
      </c>
    </row>
    <row r="162" spans="1:9" x14ac:dyDescent="0.25">
      <c r="A162" t="s">
        <v>221</v>
      </c>
      <c r="B162">
        <v>114</v>
      </c>
      <c r="C162">
        <v>84</v>
      </c>
      <c r="D162">
        <v>7</v>
      </c>
      <c r="E162">
        <v>19</v>
      </c>
      <c r="F162">
        <v>5</v>
      </c>
      <c r="G162">
        <v>4</v>
      </c>
      <c r="H162">
        <v>15</v>
      </c>
      <c r="I162">
        <f t="shared" si="2"/>
        <v>248</v>
      </c>
    </row>
    <row r="163" spans="1:9" x14ac:dyDescent="0.25">
      <c r="A163" t="s">
        <v>222</v>
      </c>
      <c r="B163">
        <v>116</v>
      </c>
      <c r="C163">
        <v>100</v>
      </c>
      <c r="D163">
        <v>33</v>
      </c>
      <c r="E163">
        <v>17</v>
      </c>
      <c r="F163">
        <v>7</v>
      </c>
      <c r="G163">
        <v>5</v>
      </c>
      <c r="H163">
        <v>6</v>
      </c>
      <c r="I163">
        <f t="shared" si="2"/>
        <v>284</v>
      </c>
    </row>
    <row r="164" spans="1:9" x14ac:dyDescent="0.25">
      <c r="A164" t="s">
        <v>223</v>
      </c>
      <c r="B164">
        <v>120</v>
      </c>
      <c r="C164">
        <v>118</v>
      </c>
      <c r="D164">
        <v>7</v>
      </c>
      <c r="E164">
        <v>14</v>
      </c>
      <c r="F164">
        <v>4</v>
      </c>
      <c r="G164">
        <v>9</v>
      </c>
      <c r="H164">
        <v>4</v>
      </c>
      <c r="I164">
        <f t="shared" si="2"/>
        <v>276</v>
      </c>
    </row>
    <row r="165" spans="1:9" x14ac:dyDescent="0.25">
      <c r="A165" t="s">
        <v>224</v>
      </c>
      <c r="B165">
        <v>117</v>
      </c>
      <c r="C165">
        <v>138</v>
      </c>
      <c r="D165">
        <v>25</v>
      </c>
      <c r="E165">
        <v>28</v>
      </c>
      <c r="F165">
        <v>10</v>
      </c>
      <c r="G165">
        <v>17</v>
      </c>
      <c r="H165">
        <v>1</v>
      </c>
      <c r="I165">
        <f t="shared" si="2"/>
        <v>336</v>
      </c>
    </row>
    <row r="166" spans="1:9" x14ac:dyDescent="0.25">
      <c r="A166" t="s">
        <v>225</v>
      </c>
      <c r="B166">
        <v>28</v>
      </c>
      <c r="C166">
        <v>59</v>
      </c>
      <c r="D166">
        <v>59</v>
      </c>
      <c r="E166">
        <v>20</v>
      </c>
      <c r="F166">
        <v>10</v>
      </c>
      <c r="G166">
        <v>4</v>
      </c>
      <c r="H166">
        <v>12</v>
      </c>
      <c r="I166">
        <f t="shared" si="2"/>
        <v>192</v>
      </c>
    </row>
    <row r="167" spans="1:9" x14ac:dyDescent="0.25">
      <c r="A167" t="s">
        <v>226</v>
      </c>
      <c r="B167">
        <v>65</v>
      </c>
      <c r="C167">
        <v>124</v>
      </c>
      <c r="D167">
        <v>55</v>
      </c>
      <c r="E167">
        <v>38</v>
      </c>
      <c r="F167">
        <v>15</v>
      </c>
      <c r="G167">
        <v>1</v>
      </c>
      <c r="H167">
        <v>11</v>
      </c>
      <c r="I167">
        <f t="shared" si="2"/>
        <v>309</v>
      </c>
    </row>
    <row r="168" spans="1:9" x14ac:dyDescent="0.25">
      <c r="A168" t="s">
        <v>227</v>
      </c>
      <c r="B168">
        <v>55</v>
      </c>
      <c r="C168">
        <v>75</v>
      </c>
      <c r="D168">
        <v>56</v>
      </c>
      <c r="E168">
        <v>14</v>
      </c>
      <c r="F168">
        <v>20</v>
      </c>
      <c r="G168">
        <v>20</v>
      </c>
      <c r="H168">
        <v>4</v>
      </c>
      <c r="I168">
        <f t="shared" si="2"/>
        <v>244</v>
      </c>
    </row>
    <row r="169" spans="1:9" x14ac:dyDescent="0.25">
      <c r="A169" t="s">
        <v>228</v>
      </c>
      <c r="B169">
        <v>94</v>
      </c>
      <c r="C169">
        <v>109</v>
      </c>
      <c r="D169">
        <v>20</v>
      </c>
      <c r="E169">
        <v>23</v>
      </c>
      <c r="F169">
        <v>19</v>
      </c>
      <c r="G169">
        <v>20</v>
      </c>
      <c r="H169">
        <v>4</v>
      </c>
      <c r="I169">
        <f t="shared" si="2"/>
        <v>289</v>
      </c>
    </row>
    <row r="170" spans="1:9" x14ac:dyDescent="0.25">
      <c r="A170" t="s">
        <v>229</v>
      </c>
      <c r="B170">
        <v>117</v>
      </c>
      <c r="C170">
        <v>65</v>
      </c>
      <c r="D170">
        <v>11</v>
      </c>
      <c r="E170">
        <v>23</v>
      </c>
      <c r="F170">
        <v>11</v>
      </c>
      <c r="G170">
        <v>4</v>
      </c>
      <c r="H170">
        <v>11</v>
      </c>
      <c r="I170">
        <f t="shared" si="2"/>
        <v>242</v>
      </c>
    </row>
    <row r="171" spans="1:9" x14ac:dyDescent="0.25">
      <c r="A171" t="s">
        <v>230</v>
      </c>
      <c r="B171">
        <v>37</v>
      </c>
      <c r="C171">
        <v>85</v>
      </c>
      <c r="D171">
        <v>34</v>
      </c>
      <c r="E171">
        <v>11</v>
      </c>
      <c r="F171">
        <v>8</v>
      </c>
      <c r="G171">
        <v>18</v>
      </c>
      <c r="H171">
        <v>10</v>
      </c>
      <c r="I171">
        <f t="shared" si="2"/>
        <v>203</v>
      </c>
    </row>
    <row r="172" spans="1:9" x14ac:dyDescent="0.25">
      <c r="A172" t="s">
        <v>231</v>
      </c>
      <c r="B172">
        <v>74</v>
      </c>
      <c r="C172">
        <v>128</v>
      </c>
      <c r="D172">
        <v>31</v>
      </c>
      <c r="E172">
        <v>18</v>
      </c>
      <c r="F172">
        <v>17</v>
      </c>
      <c r="G172">
        <v>1</v>
      </c>
      <c r="H172">
        <v>11</v>
      </c>
      <c r="I172">
        <f t="shared" si="2"/>
        <v>280</v>
      </c>
    </row>
    <row r="173" spans="1:9" x14ac:dyDescent="0.25">
      <c r="A173" t="s">
        <v>232</v>
      </c>
      <c r="B173">
        <v>38</v>
      </c>
      <c r="C173">
        <v>97</v>
      </c>
      <c r="D173">
        <v>38</v>
      </c>
      <c r="E173">
        <v>23</v>
      </c>
      <c r="F173">
        <v>12</v>
      </c>
      <c r="G173">
        <v>11</v>
      </c>
      <c r="H173">
        <v>9</v>
      </c>
      <c r="I173">
        <f t="shared" si="2"/>
        <v>228</v>
      </c>
    </row>
    <row r="174" spans="1:9" x14ac:dyDescent="0.25">
      <c r="A174" t="s">
        <v>233</v>
      </c>
      <c r="B174">
        <v>45</v>
      </c>
      <c r="C174">
        <v>50</v>
      </c>
      <c r="D174">
        <v>22</v>
      </c>
      <c r="E174">
        <v>40</v>
      </c>
      <c r="F174">
        <v>7</v>
      </c>
      <c r="G174">
        <v>5</v>
      </c>
      <c r="H174">
        <v>8</v>
      </c>
      <c r="I174">
        <f t="shared" si="2"/>
        <v>177</v>
      </c>
    </row>
    <row r="175" spans="1:9" x14ac:dyDescent="0.25">
      <c r="A175" t="s">
        <v>234</v>
      </c>
      <c r="B175">
        <v>89</v>
      </c>
      <c r="C175">
        <v>113</v>
      </c>
      <c r="D175">
        <v>8</v>
      </c>
      <c r="E175">
        <v>36</v>
      </c>
      <c r="F175">
        <v>17</v>
      </c>
      <c r="G175">
        <v>15</v>
      </c>
      <c r="H175">
        <v>3</v>
      </c>
      <c r="I175">
        <f t="shared" si="2"/>
        <v>281</v>
      </c>
    </row>
    <row r="176" spans="1:9" x14ac:dyDescent="0.25">
      <c r="A176" t="s">
        <v>235</v>
      </c>
      <c r="B176">
        <v>76</v>
      </c>
      <c r="C176">
        <v>74</v>
      </c>
      <c r="D176">
        <v>25</v>
      </c>
      <c r="E176">
        <v>34</v>
      </c>
      <c r="F176">
        <v>9</v>
      </c>
      <c r="G176">
        <v>17</v>
      </c>
      <c r="H176">
        <v>5</v>
      </c>
      <c r="I176">
        <f t="shared" si="2"/>
        <v>240</v>
      </c>
    </row>
    <row r="177" spans="1:9" x14ac:dyDescent="0.25">
      <c r="A177" t="s">
        <v>236</v>
      </c>
      <c r="B177">
        <v>46</v>
      </c>
      <c r="C177">
        <v>103</v>
      </c>
      <c r="D177">
        <v>9</v>
      </c>
      <c r="E177">
        <v>8</v>
      </c>
      <c r="F177">
        <v>4</v>
      </c>
      <c r="G177">
        <v>12</v>
      </c>
      <c r="H177">
        <v>5</v>
      </c>
      <c r="I177">
        <f t="shared" si="2"/>
        <v>187</v>
      </c>
    </row>
    <row r="178" spans="1:9" x14ac:dyDescent="0.25">
      <c r="A178" t="s">
        <v>237</v>
      </c>
      <c r="B178">
        <v>35</v>
      </c>
      <c r="C178">
        <v>127</v>
      </c>
      <c r="D178">
        <v>44</v>
      </c>
      <c r="E178">
        <v>31</v>
      </c>
      <c r="F178">
        <v>23</v>
      </c>
      <c r="G178">
        <v>10</v>
      </c>
      <c r="H178">
        <v>7</v>
      </c>
      <c r="I178">
        <f t="shared" si="2"/>
        <v>277</v>
      </c>
    </row>
    <row r="179" spans="1:9" x14ac:dyDescent="0.25">
      <c r="A179" t="s">
        <v>238</v>
      </c>
      <c r="B179">
        <v>23</v>
      </c>
      <c r="C179">
        <v>55</v>
      </c>
      <c r="D179">
        <v>23</v>
      </c>
      <c r="E179">
        <v>19</v>
      </c>
      <c r="F179">
        <v>6</v>
      </c>
      <c r="G179">
        <v>19</v>
      </c>
      <c r="H179">
        <v>15</v>
      </c>
      <c r="I179">
        <f t="shared" si="2"/>
        <v>160</v>
      </c>
    </row>
    <row r="180" spans="1:9" x14ac:dyDescent="0.25">
      <c r="A180" t="s">
        <v>239</v>
      </c>
      <c r="B180">
        <v>21</v>
      </c>
      <c r="C180">
        <v>78</v>
      </c>
      <c r="D180">
        <v>8</v>
      </c>
      <c r="E180">
        <v>33</v>
      </c>
      <c r="F180">
        <v>24</v>
      </c>
      <c r="G180">
        <v>2</v>
      </c>
      <c r="H180">
        <v>13</v>
      </c>
      <c r="I180">
        <f t="shared" si="2"/>
        <v>179</v>
      </c>
    </row>
    <row r="181" spans="1:9" x14ac:dyDescent="0.25">
      <c r="A181" t="s">
        <v>240</v>
      </c>
      <c r="B181">
        <v>84</v>
      </c>
      <c r="C181">
        <v>116</v>
      </c>
      <c r="D181">
        <v>8</v>
      </c>
      <c r="E181">
        <v>15</v>
      </c>
      <c r="F181">
        <v>21</v>
      </c>
      <c r="G181">
        <v>1</v>
      </c>
      <c r="H181">
        <v>15</v>
      </c>
      <c r="I181">
        <f t="shared" si="2"/>
        <v>260</v>
      </c>
    </row>
  </sheetData>
  <dataValidations count="1">
    <dataValidation type="decimal" operator="greaterThanOrEqual" allowBlank="1" showInputMessage="1" showErrorMessage="1" sqref="B1:H1" xr:uid="{D64FE44F-8612-46D2-AFCE-E7F4C2333E8B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376B-2EBC-4EBC-8EF8-5F2A036E6800}">
  <dimension ref="A3:C20"/>
  <sheetViews>
    <sheetView tabSelected="1" workbookViewId="0">
      <selection activeCell="A3" sqref="A3"/>
    </sheetView>
  </sheetViews>
  <sheetFormatPr defaultRowHeight="15" x14ac:dyDescent="0.25"/>
  <sheetData>
    <row r="3" spans="1:3" x14ac:dyDescent="0.25">
      <c r="A3" s="6"/>
      <c r="B3" s="7"/>
      <c r="C3" s="8"/>
    </row>
    <row r="4" spans="1:3" x14ac:dyDescent="0.25">
      <c r="A4" s="9"/>
      <c r="B4" s="10"/>
      <c r="C4" s="11"/>
    </row>
    <row r="5" spans="1:3" x14ac:dyDescent="0.25">
      <c r="A5" s="9"/>
      <c r="B5" s="10"/>
      <c r="C5" s="11"/>
    </row>
    <row r="6" spans="1:3" x14ac:dyDescent="0.25">
      <c r="A6" s="9"/>
      <c r="B6" s="10"/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3" x14ac:dyDescent="0.25">
      <c r="A9" s="9"/>
      <c r="B9" s="10"/>
      <c r="C9" s="11"/>
    </row>
    <row r="10" spans="1:3" x14ac:dyDescent="0.25">
      <c r="A10" s="9"/>
      <c r="B10" s="10"/>
      <c r="C10" s="11"/>
    </row>
    <row r="11" spans="1:3" x14ac:dyDescent="0.25">
      <c r="A11" s="9"/>
      <c r="B11" s="10"/>
      <c r="C11" s="11"/>
    </row>
    <row r="12" spans="1:3" x14ac:dyDescent="0.25">
      <c r="A12" s="9"/>
      <c r="B12" s="10"/>
      <c r="C12" s="11"/>
    </row>
    <row r="13" spans="1:3" x14ac:dyDescent="0.25">
      <c r="A13" s="9"/>
      <c r="B13" s="10"/>
      <c r="C13" s="11"/>
    </row>
    <row r="14" spans="1:3" x14ac:dyDescent="0.25">
      <c r="A14" s="9"/>
      <c r="B14" s="10"/>
      <c r="C14" s="11"/>
    </row>
    <row r="15" spans="1:3" x14ac:dyDescent="0.25">
      <c r="A15" s="9"/>
      <c r="B15" s="10"/>
      <c r="C15" s="11"/>
    </row>
    <row r="16" spans="1:3" x14ac:dyDescent="0.25">
      <c r="A16" s="9"/>
      <c r="B16" s="10"/>
      <c r="C16" s="11"/>
    </row>
    <row r="17" spans="1:3" x14ac:dyDescent="0.25">
      <c r="A17" s="9"/>
      <c r="B17" s="10"/>
      <c r="C17" s="11"/>
    </row>
    <row r="18" spans="1:3" x14ac:dyDescent="0.25">
      <c r="A18" s="9"/>
      <c r="B18" s="10"/>
      <c r="C18" s="11"/>
    </row>
    <row r="19" spans="1:3" x14ac:dyDescent="0.25">
      <c r="A19" s="9"/>
      <c r="B19" s="10"/>
      <c r="C19" s="11"/>
    </row>
    <row r="20" spans="1:3" x14ac:dyDescent="0.25">
      <c r="A20" s="12"/>
      <c r="B20" s="13"/>
      <c r="C2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workbookViewId="0">
      <selection activeCell="F1" sqref="A1:G181"/>
    </sheetView>
  </sheetViews>
  <sheetFormatPr defaultRowHeight="15" x14ac:dyDescent="0.25"/>
  <cols>
    <col min="1" max="1" width="9" bestFit="1" customWidth="1"/>
    <col min="2" max="2" width="12.28515625" bestFit="1" customWidth="1"/>
    <col min="3" max="3" width="15.85546875" bestFit="1" customWidth="1"/>
    <col min="4" max="4" width="12.28515625" bestFit="1" customWidth="1"/>
    <col min="5" max="5" width="15.42578125" bestFit="1" customWidth="1"/>
    <col min="6" max="6" width="8.7109375" bestFit="1" customWidth="1"/>
    <col min="7" max="7" width="13.28515625" bestFit="1" customWidth="1"/>
  </cols>
  <sheetData>
    <row r="1" spans="1:7" x14ac:dyDescent="0.25">
      <c r="A1" t="s">
        <v>1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</row>
    <row r="2" spans="1:7" x14ac:dyDescent="0.25">
      <c r="A2" t="s">
        <v>12</v>
      </c>
      <c r="B2">
        <v>127</v>
      </c>
      <c r="C2">
        <v>69</v>
      </c>
      <c r="D2">
        <v>29</v>
      </c>
      <c r="E2">
        <v>20</v>
      </c>
      <c r="F2">
        <v>0</v>
      </c>
      <c r="G2">
        <f>SUM(B2:E2)-F2</f>
        <v>245</v>
      </c>
    </row>
    <row r="3" spans="1:7" x14ac:dyDescent="0.25">
      <c r="A3" t="s">
        <v>21</v>
      </c>
      <c r="B3">
        <v>76</v>
      </c>
      <c r="C3">
        <v>93</v>
      </c>
      <c r="D3">
        <v>63</v>
      </c>
      <c r="E3">
        <v>40</v>
      </c>
      <c r="F3">
        <v>0</v>
      </c>
      <c r="G3">
        <f t="shared" ref="G3:G66" si="0">SUM(B3:E3)-F3</f>
        <v>272</v>
      </c>
    </row>
    <row r="4" spans="1:7" x14ac:dyDescent="0.25">
      <c r="A4" t="s">
        <v>29</v>
      </c>
      <c r="B4">
        <v>145</v>
      </c>
      <c r="C4">
        <v>70</v>
      </c>
      <c r="D4">
        <v>14</v>
      </c>
      <c r="E4">
        <v>0</v>
      </c>
      <c r="F4">
        <v>20</v>
      </c>
      <c r="G4">
        <f t="shared" si="0"/>
        <v>209</v>
      </c>
    </row>
    <row r="5" spans="1:7" x14ac:dyDescent="0.25">
      <c r="A5" t="s">
        <v>33</v>
      </c>
      <c r="B5">
        <v>200</v>
      </c>
      <c r="C5">
        <v>111</v>
      </c>
      <c r="D5">
        <v>27</v>
      </c>
      <c r="E5">
        <v>0</v>
      </c>
      <c r="F5">
        <v>0</v>
      </c>
      <c r="G5">
        <f t="shared" si="0"/>
        <v>338</v>
      </c>
    </row>
    <row r="6" spans="1:7" x14ac:dyDescent="0.25">
      <c r="A6" t="s">
        <v>35</v>
      </c>
      <c r="B6">
        <v>108</v>
      </c>
      <c r="C6">
        <v>39</v>
      </c>
      <c r="D6">
        <v>24</v>
      </c>
      <c r="E6">
        <v>0</v>
      </c>
      <c r="F6">
        <v>0</v>
      </c>
      <c r="G6">
        <f t="shared" si="0"/>
        <v>171</v>
      </c>
    </row>
    <row r="7" spans="1:7" x14ac:dyDescent="0.25">
      <c r="A7" t="s">
        <v>40</v>
      </c>
      <c r="B7">
        <v>188</v>
      </c>
      <c r="C7">
        <v>27</v>
      </c>
      <c r="D7">
        <v>68</v>
      </c>
      <c r="E7">
        <v>20</v>
      </c>
      <c r="F7">
        <v>10</v>
      </c>
      <c r="G7">
        <f t="shared" si="0"/>
        <v>293</v>
      </c>
    </row>
    <row r="8" spans="1:7" x14ac:dyDescent="0.25">
      <c r="A8" t="s">
        <v>44</v>
      </c>
      <c r="B8">
        <v>82</v>
      </c>
      <c r="C8">
        <v>100</v>
      </c>
      <c r="D8">
        <v>24</v>
      </c>
      <c r="E8">
        <v>0</v>
      </c>
      <c r="F8">
        <v>0</v>
      </c>
      <c r="G8">
        <f t="shared" si="0"/>
        <v>206</v>
      </c>
    </row>
    <row r="9" spans="1:7" x14ac:dyDescent="0.25">
      <c r="A9" t="s">
        <v>48</v>
      </c>
      <c r="B9">
        <v>154</v>
      </c>
      <c r="C9">
        <v>45</v>
      </c>
      <c r="D9">
        <v>32</v>
      </c>
      <c r="E9">
        <v>0</v>
      </c>
      <c r="F9">
        <v>20</v>
      </c>
      <c r="G9">
        <f t="shared" si="0"/>
        <v>211</v>
      </c>
    </row>
    <row r="10" spans="1:7" x14ac:dyDescent="0.25">
      <c r="A10" t="s">
        <v>52</v>
      </c>
      <c r="B10">
        <v>106</v>
      </c>
      <c r="C10">
        <v>115</v>
      </c>
      <c r="D10">
        <v>51</v>
      </c>
      <c r="E10">
        <v>0</v>
      </c>
      <c r="F10">
        <v>10</v>
      </c>
      <c r="G10">
        <f t="shared" si="0"/>
        <v>262</v>
      </c>
    </row>
    <row r="11" spans="1:7" x14ac:dyDescent="0.25">
      <c r="A11" t="s">
        <v>56</v>
      </c>
      <c r="B11">
        <v>106</v>
      </c>
      <c r="C11">
        <v>86</v>
      </c>
      <c r="D11">
        <v>61</v>
      </c>
      <c r="E11">
        <v>40</v>
      </c>
      <c r="F11">
        <v>10</v>
      </c>
      <c r="G11">
        <f t="shared" si="0"/>
        <v>283</v>
      </c>
    </row>
    <row r="12" spans="1:7" x14ac:dyDescent="0.25">
      <c r="A12" t="s">
        <v>59</v>
      </c>
      <c r="B12">
        <v>191</v>
      </c>
      <c r="C12">
        <v>97</v>
      </c>
      <c r="D12">
        <v>26</v>
      </c>
      <c r="E12">
        <v>40</v>
      </c>
      <c r="F12">
        <v>0</v>
      </c>
      <c r="G12">
        <f t="shared" si="0"/>
        <v>354</v>
      </c>
    </row>
    <row r="13" spans="1:7" x14ac:dyDescent="0.25">
      <c r="A13" t="s">
        <v>61</v>
      </c>
      <c r="B13">
        <v>164</v>
      </c>
      <c r="C13">
        <v>37</v>
      </c>
      <c r="D13">
        <v>11</v>
      </c>
      <c r="E13">
        <v>40</v>
      </c>
      <c r="F13">
        <v>0</v>
      </c>
      <c r="G13">
        <f t="shared" si="0"/>
        <v>252</v>
      </c>
    </row>
    <row r="14" spans="1:7" x14ac:dyDescent="0.25">
      <c r="A14" t="s">
        <v>63</v>
      </c>
      <c r="B14">
        <v>128</v>
      </c>
      <c r="C14">
        <v>105</v>
      </c>
      <c r="D14">
        <v>69</v>
      </c>
      <c r="E14">
        <v>0</v>
      </c>
      <c r="F14">
        <v>20</v>
      </c>
      <c r="G14">
        <f t="shared" si="0"/>
        <v>282</v>
      </c>
    </row>
    <row r="15" spans="1:7" x14ac:dyDescent="0.25">
      <c r="A15" t="s">
        <v>64</v>
      </c>
      <c r="B15">
        <v>86</v>
      </c>
      <c r="C15">
        <v>65</v>
      </c>
      <c r="D15">
        <v>15</v>
      </c>
      <c r="E15">
        <v>0</v>
      </c>
      <c r="F15">
        <v>0</v>
      </c>
      <c r="G15">
        <f t="shared" si="0"/>
        <v>166</v>
      </c>
    </row>
    <row r="16" spans="1:7" x14ac:dyDescent="0.25">
      <c r="A16" t="s">
        <v>66</v>
      </c>
      <c r="B16">
        <v>148</v>
      </c>
      <c r="C16">
        <v>74</v>
      </c>
      <c r="D16">
        <v>59</v>
      </c>
      <c r="E16">
        <v>20</v>
      </c>
      <c r="F16">
        <v>0</v>
      </c>
      <c r="G16">
        <f t="shared" si="0"/>
        <v>301</v>
      </c>
    </row>
    <row r="17" spans="1:7" x14ac:dyDescent="0.25">
      <c r="A17" t="s">
        <v>68</v>
      </c>
      <c r="B17">
        <v>132</v>
      </c>
      <c r="C17">
        <v>102</v>
      </c>
      <c r="D17">
        <v>27</v>
      </c>
      <c r="E17">
        <v>0</v>
      </c>
      <c r="F17">
        <v>20</v>
      </c>
      <c r="G17">
        <f t="shared" si="0"/>
        <v>241</v>
      </c>
    </row>
    <row r="18" spans="1:7" x14ac:dyDescent="0.25">
      <c r="A18" t="s">
        <v>71</v>
      </c>
      <c r="B18">
        <v>97</v>
      </c>
      <c r="C18">
        <v>67</v>
      </c>
      <c r="D18">
        <v>67</v>
      </c>
      <c r="E18">
        <v>0</v>
      </c>
      <c r="F18">
        <v>0</v>
      </c>
      <c r="G18">
        <f t="shared" si="0"/>
        <v>231</v>
      </c>
    </row>
    <row r="19" spans="1:7" x14ac:dyDescent="0.25">
      <c r="A19" t="s">
        <v>72</v>
      </c>
      <c r="B19">
        <v>167</v>
      </c>
      <c r="C19">
        <v>63</v>
      </c>
      <c r="D19">
        <v>12</v>
      </c>
      <c r="E19">
        <v>0</v>
      </c>
      <c r="F19">
        <v>20</v>
      </c>
      <c r="G19">
        <f t="shared" si="0"/>
        <v>222</v>
      </c>
    </row>
    <row r="20" spans="1:7" x14ac:dyDescent="0.25">
      <c r="A20" t="s">
        <v>73</v>
      </c>
      <c r="B20">
        <v>168</v>
      </c>
      <c r="C20">
        <v>21</v>
      </c>
      <c r="D20">
        <v>21</v>
      </c>
      <c r="E20">
        <v>0</v>
      </c>
      <c r="F20">
        <v>0</v>
      </c>
      <c r="G20">
        <f t="shared" si="0"/>
        <v>210</v>
      </c>
    </row>
    <row r="21" spans="1:7" x14ac:dyDescent="0.25">
      <c r="A21" t="s">
        <v>74</v>
      </c>
      <c r="B21">
        <v>120</v>
      </c>
      <c r="C21">
        <v>45</v>
      </c>
      <c r="D21">
        <v>66</v>
      </c>
      <c r="E21">
        <v>0</v>
      </c>
      <c r="F21">
        <v>0</v>
      </c>
      <c r="G21">
        <f t="shared" si="0"/>
        <v>231</v>
      </c>
    </row>
    <row r="22" spans="1:7" x14ac:dyDescent="0.25">
      <c r="A22" t="s">
        <v>75</v>
      </c>
      <c r="B22">
        <v>135</v>
      </c>
      <c r="C22">
        <v>41</v>
      </c>
      <c r="D22">
        <v>14</v>
      </c>
      <c r="E22">
        <v>20</v>
      </c>
      <c r="F22">
        <v>0</v>
      </c>
      <c r="G22">
        <f t="shared" si="0"/>
        <v>210</v>
      </c>
    </row>
    <row r="23" spans="1:7" x14ac:dyDescent="0.25">
      <c r="A23" t="s">
        <v>76</v>
      </c>
      <c r="B23">
        <v>99</v>
      </c>
      <c r="C23">
        <v>67</v>
      </c>
      <c r="D23">
        <v>28</v>
      </c>
      <c r="E23">
        <v>20</v>
      </c>
      <c r="F23">
        <v>0</v>
      </c>
      <c r="G23">
        <f t="shared" si="0"/>
        <v>214</v>
      </c>
    </row>
    <row r="24" spans="1:7" x14ac:dyDescent="0.25">
      <c r="A24" t="s">
        <v>77</v>
      </c>
      <c r="B24">
        <v>103</v>
      </c>
      <c r="C24">
        <v>97</v>
      </c>
      <c r="D24">
        <v>26</v>
      </c>
      <c r="E24">
        <v>20</v>
      </c>
      <c r="F24">
        <v>0</v>
      </c>
      <c r="G24">
        <f t="shared" si="0"/>
        <v>246</v>
      </c>
    </row>
    <row r="25" spans="1:7" x14ac:dyDescent="0.25">
      <c r="A25" t="s">
        <v>78</v>
      </c>
      <c r="B25">
        <v>93</v>
      </c>
      <c r="C25">
        <v>24</v>
      </c>
      <c r="D25">
        <v>58</v>
      </c>
      <c r="E25">
        <v>40</v>
      </c>
      <c r="F25">
        <v>0</v>
      </c>
      <c r="G25">
        <f t="shared" si="0"/>
        <v>215</v>
      </c>
    </row>
    <row r="26" spans="1:7" x14ac:dyDescent="0.25">
      <c r="A26" t="s">
        <v>80</v>
      </c>
      <c r="B26">
        <v>120</v>
      </c>
      <c r="C26">
        <v>24</v>
      </c>
      <c r="D26">
        <v>18</v>
      </c>
      <c r="E26">
        <v>0</v>
      </c>
      <c r="F26">
        <v>20</v>
      </c>
      <c r="G26">
        <f t="shared" si="0"/>
        <v>142</v>
      </c>
    </row>
    <row r="27" spans="1:7" x14ac:dyDescent="0.25">
      <c r="A27" t="s">
        <v>81</v>
      </c>
      <c r="B27">
        <v>91</v>
      </c>
      <c r="C27">
        <v>62</v>
      </c>
      <c r="D27">
        <v>69</v>
      </c>
      <c r="E27">
        <v>40</v>
      </c>
      <c r="F27">
        <v>10</v>
      </c>
      <c r="G27">
        <f t="shared" si="0"/>
        <v>252</v>
      </c>
    </row>
    <row r="28" spans="1:7" x14ac:dyDescent="0.25">
      <c r="A28" t="s">
        <v>83</v>
      </c>
      <c r="B28">
        <v>62</v>
      </c>
      <c r="C28">
        <v>100</v>
      </c>
      <c r="D28">
        <v>50</v>
      </c>
      <c r="E28">
        <v>0</v>
      </c>
      <c r="F28">
        <v>10</v>
      </c>
      <c r="G28">
        <f t="shared" si="0"/>
        <v>202</v>
      </c>
    </row>
    <row r="29" spans="1:7" x14ac:dyDescent="0.25">
      <c r="A29" t="s">
        <v>84</v>
      </c>
      <c r="B29">
        <v>106</v>
      </c>
      <c r="C29">
        <v>59</v>
      </c>
      <c r="D29">
        <v>16</v>
      </c>
      <c r="E29">
        <v>0</v>
      </c>
      <c r="F29">
        <v>20</v>
      </c>
      <c r="G29">
        <f t="shared" si="0"/>
        <v>161</v>
      </c>
    </row>
    <row r="30" spans="1:7" x14ac:dyDescent="0.25">
      <c r="A30" t="s">
        <v>85</v>
      </c>
      <c r="B30">
        <v>113</v>
      </c>
      <c r="C30">
        <v>112</v>
      </c>
      <c r="D30">
        <v>66</v>
      </c>
      <c r="E30">
        <v>0</v>
      </c>
      <c r="F30">
        <v>0</v>
      </c>
      <c r="G30">
        <f t="shared" si="0"/>
        <v>291</v>
      </c>
    </row>
    <row r="31" spans="1:7" x14ac:dyDescent="0.25">
      <c r="A31" t="s">
        <v>86</v>
      </c>
      <c r="B31">
        <v>189</v>
      </c>
      <c r="C31">
        <v>53</v>
      </c>
      <c r="D31">
        <v>61</v>
      </c>
      <c r="E31">
        <v>40</v>
      </c>
      <c r="F31">
        <v>0</v>
      </c>
      <c r="G31">
        <f t="shared" si="0"/>
        <v>343</v>
      </c>
    </row>
    <row r="32" spans="1:7" x14ac:dyDescent="0.25">
      <c r="A32" t="s">
        <v>87</v>
      </c>
      <c r="B32">
        <v>185</v>
      </c>
      <c r="C32">
        <v>89</v>
      </c>
      <c r="D32">
        <v>60</v>
      </c>
      <c r="E32">
        <v>40</v>
      </c>
      <c r="F32">
        <v>0</v>
      </c>
      <c r="G32">
        <f t="shared" si="0"/>
        <v>374</v>
      </c>
    </row>
    <row r="33" spans="1:7" x14ac:dyDescent="0.25">
      <c r="A33" t="s">
        <v>88</v>
      </c>
      <c r="B33">
        <v>120</v>
      </c>
      <c r="C33">
        <v>107</v>
      </c>
      <c r="D33">
        <v>59</v>
      </c>
      <c r="E33">
        <v>40</v>
      </c>
      <c r="F33">
        <v>0</v>
      </c>
      <c r="G33">
        <f t="shared" si="0"/>
        <v>326</v>
      </c>
    </row>
    <row r="34" spans="1:7" x14ac:dyDescent="0.25">
      <c r="A34" t="s">
        <v>89</v>
      </c>
      <c r="B34">
        <v>188</v>
      </c>
      <c r="C34">
        <v>24</v>
      </c>
      <c r="D34">
        <v>63</v>
      </c>
      <c r="E34">
        <v>0</v>
      </c>
      <c r="F34">
        <v>0</v>
      </c>
      <c r="G34">
        <f t="shared" si="0"/>
        <v>275</v>
      </c>
    </row>
    <row r="35" spans="1:7" x14ac:dyDescent="0.25">
      <c r="A35" t="s">
        <v>90</v>
      </c>
      <c r="B35">
        <v>171</v>
      </c>
      <c r="C35">
        <v>54</v>
      </c>
      <c r="D35">
        <v>68</v>
      </c>
      <c r="E35">
        <v>20</v>
      </c>
      <c r="F35">
        <v>0</v>
      </c>
      <c r="G35">
        <f t="shared" si="0"/>
        <v>313</v>
      </c>
    </row>
    <row r="36" spans="1:7" x14ac:dyDescent="0.25">
      <c r="A36" t="s">
        <v>91</v>
      </c>
      <c r="B36">
        <v>194</v>
      </c>
      <c r="C36">
        <v>64</v>
      </c>
      <c r="D36">
        <v>11</v>
      </c>
      <c r="E36">
        <v>20</v>
      </c>
      <c r="F36">
        <v>0</v>
      </c>
      <c r="G36">
        <f t="shared" si="0"/>
        <v>289</v>
      </c>
    </row>
    <row r="37" spans="1:7" x14ac:dyDescent="0.25">
      <c r="A37" t="s">
        <v>92</v>
      </c>
      <c r="B37">
        <v>182</v>
      </c>
      <c r="C37">
        <v>32</v>
      </c>
      <c r="D37">
        <v>48</v>
      </c>
      <c r="E37">
        <v>40</v>
      </c>
      <c r="F37">
        <v>20</v>
      </c>
      <c r="G37">
        <f t="shared" si="0"/>
        <v>282</v>
      </c>
    </row>
    <row r="38" spans="1:7" x14ac:dyDescent="0.25">
      <c r="A38" t="s">
        <v>93</v>
      </c>
      <c r="B38">
        <v>64</v>
      </c>
      <c r="C38">
        <v>29</v>
      </c>
      <c r="D38">
        <v>80</v>
      </c>
      <c r="E38">
        <v>0</v>
      </c>
      <c r="F38">
        <v>20</v>
      </c>
      <c r="G38">
        <f t="shared" si="0"/>
        <v>153</v>
      </c>
    </row>
    <row r="39" spans="1:7" x14ac:dyDescent="0.25">
      <c r="A39" t="s">
        <v>94</v>
      </c>
      <c r="B39">
        <v>157</v>
      </c>
      <c r="C39">
        <v>113</v>
      </c>
      <c r="D39">
        <v>18</v>
      </c>
      <c r="E39">
        <v>0</v>
      </c>
      <c r="F39">
        <v>10</v>
      </c>
      <c r="G39">
        <f t="shared" si="0"/>
        <v>278</v>
      </c>
    </row>
    <row r="40" spans="1:7" x14ac:dyDescent="0.25">
      <c r="A40" t="s">
        <v>96</v>
      </c>
      <c r="B40">
        <v>139</v>
      </c>
      <c r="C40">
        <v>81</v>
      </c>
      <c r="D40">
        <v>79</v>
      </c>
      <c r="E40">
        <v>20</v>
      </c>
      <c r="F40">
        <v>0</v>
      </c>
      <c r="G40">
        <f t="shared" si="0"/>
        <v>319</v>
      </c>
    </row>
    <row r="41" spans="1:7" x14ac:dyDescent="0.25">
      <c r="A41" t="s">
        <v>97</v>
      </c>
      <c r="B41">
        <v>115</v>
      </c>
      <c r="C41">
        <v>29</v>
      </c>
      <c r="D41">
        <v>76</v>
      </c>
      <c r="E41">
        <v>0</v>
      </c>
      <c r="F41">
        <v>20</v>
      </c>
      <c r="G41">
        <f t="shared" si="0"/>
        <v>200</v>
      </c>
    </row>
    <row r="42" spans="1:7" x14ac:dyDescent="0.25">
      <c r="A42" t="s">
        <v>99</v>
      </c>
      <c r="B42">
        <v>87</v>
      </c>
      <c r="C42">
        <v>86</v>
      </c>
      <c r="D42">
        <v>67</v>
      </c>
      <c r="E42">
        <v>40</v>
      </c>
      <c r="F42">
        <v>10</v>
      </c>
      <c r="G42">
        <f t="shared" si="0"/>
        <v>270</v>
      </c>
    </row>
    <row r="43" spans="1:7" x14ac:dyDescent="0.25">
      <c r="A43" t="s">
        <v>100</v>
      </c>
      <c r="B43">
        <v>162</v>
      </c>
      <c r="C43">
        <v>105</v>
      </c>
      <c r="D43">
        <v>79</v>
      </c>
      <c r="E43">
        <v>40</v>
      </c>
      <c r="F43">
        <v>0</v>
      </c>
      <c r="G43">
        <f t="shared" si="0"/>
        <v>386</v>
      </c>
    </row>
    <row r="44" spans="1:7" x14ac:dyDescent="0.25">
      <c r="A44" t="s">
        <v>101</v>
      </c>
      <c r="B44">
        <v>200</v>
      </c>
      <c r="C44">
        <v>51</v>
      </c>
      <c r="D44">
        <v>36</v>
      </c>
      <c r="E44">
        <v>40</v>
      </c>
      <c r="F44">
        <v>10</v>
      </c>
      <c r="G44">
        <f t="shared" si="0"/>
        <v>317</v>
      </c>
    </row>
    <row r="45" spans="1:7" x14ac:dyDescent="0.25">
      <c r="A45" t="s">
        <v>102</v>
      </c>
      <c r="B45">
        <v>130</v>
      </c>
      <c r="C45">
        <v>21</v>
      </c>
      <c r="D45">
        <v>75</v>
      </c>
      <c r="E45">
        <v>40</v>
      </c>
      <c r="F45">
        <v>0</v>
      </c>
      <c r="G45">
        <f t="shared" si="0"/>
        <v>266</v>
      </c>
    </row>
    <row r="46" spans="1:7" x14ac:dyDescent="0.25">
      <c r="A46" t="s">
        <v>103</v>
      </c>
      <c r="B46">
        <v>87</v>
      </c>
      <c r="C46">
        <v>111</v>
      </c>
      <c r="D46">
        <v>32</v>
      </c>
      <c r="E46">
        <v>40</v>
      </c>
      <c r="F46">
        <v>0</v>
      </c>
      <c r="G46">
        <f t="shared" si="0"/>
        <v>270</v>
      </c>
    </row>
    <row r="47" spans="1:7" x14ac:dyDescent="0.25">
      <c r="A47" t="s">
        <v>104</v>
      </c>
      <c r="B47">
        <v>96</v>
      </c>
      <c r="C47">
        <v>34</v>
      </c>
      <c r="D47">
        <v>54</v>
      </c>
      <c r="E47">
        <v>0</v>
      </c>
      <c r="F47">
        <v>0</v>
      </c>
      <c r="G47">
        <f t="shared" si="0"/>
        <v>184</v>
      </c>
    </row>
    <row r="48" spans="1:7" x14ac:dyDescent="0.25">
      <c r="A48" t="s">
        <v>105</v>
      </c>
      <c r="B48">
        <v>158</v>
      </c>
      <c r="C48">
        <v>35</v>
      </c>
      <c r="D48">
        <v>68</v>
      </c>
      <c r="E48">
        <v>40</v>
      </c>
      <c r="F48">
        <v>10</v>
      </c>
      <c r="G48">
        <f t="shared" si="0"/>
        <v>291</v>
      </c>
    </row>
    <row r="49" spans="1:7" x14ac:dyDescent="0.25">
      <c r="A49" t="s">
        <v>106</v>
      </c>
      <c r="B49">
        <v>137</v>
      </c>
      <c r="C49">
        <v>83</v>
      </c>
      <c r="D49">
        <v>16</v>
      </c>
      <c r="E49">
        <v>0</v>
      </c>
      <c r="F49">
        <v>10</v>
      </c>
      <c r="G49">
        <f t="shared" si="0"/>
        <v>226</v>
      </c>
    </row>
    <row r="50" spans="1:7" x14ac:dyDescent="0.25">
      <c r="A50" t="s">
        <v>107</v>
      </c>
      <c r="B50">
        <v>76</v>
      </c>
      <c r="C50">
        <v>54</v>
      </c>
      <c r="D50">
        <v>76</v>
      </c>
      <c r="E50">
        <v>40</v>
      </c>
      <c r="F50">
        <v>20</v>
      </c>
      <c r="G50">
        <f t="shared" si="0"/>
        <v>226</v>
      </c>
    </row>
    <row r="51" spans="1:7" x14ac:dyDescent="0.25">
      <c r="A51" t="s">
        <v>108</v>
      </c>
      <c r="B51">
        <v>138</v>
      </c>
      <c r="C51">
        <v>95</v>
      </c>
      <c r="D51">
        <v>59</v>
      </c>
      <c r="E51">
        <v>0</v>
      </c>
      <c r="F51">
        <v>0</v>
      </c>
      <c r="G51">
        <f t="shared" si="0"/>
        <v>292</v>
      </c>
    </row>
    <row r="52" spans="1:7" x14ac:dyDescent="0.25">
      <c r="A52" t="s">
        <v>109</v>
      </c>
      <c r="B52">
        <v>60</v>
      </c>
      <c r="C52">
        <v>89</v>
      </c>
      <c r="D52">
        <v>10</v>
      </c>
      <c r="E52">
        <v>0</v>
      </c>
      <c r="F52">
        <v>0</v>
      </c>
      <c r="G52">
        <f t="shared" si="0"/>
        <v>159</v>
      </c>
    </row>
    <row r="53" spans="1:7" x14ac:dyDescent="0.25">
      <c r="A53" t="s">
        <v>110</v>
      </c>
      <c r="B53">
        <v>64</v>
      </c>
      <c r="C53">
        <v>68</v>
      </c>
      <c r="D53">
        <v>64</v>
      </c>
      <c r="E53">
        <v>0</v>
      </c>
      <c r="F53">
        <v>0</v>
      </c>
      <c r="G53">
        <f t="shared" si="0"/>
        <v>196</v>
      </c>
    </row>
    <row r="54" spans="1:7" x14ac:dyDescent="0.25">
      <c r="A54" t="s">
        <v>111</v>
      </c>
      <c r="B54">
        <v>132</v>
      </c>
      <c r="C54">
        <v>120</v>
      </c>
      <c r="D54">
        <v>31</v>
      </c>
      <c r="E54">
        <v>40</v>
      </c>
      <c r="F54">
        <v>0</v>
      </c>
      <c r="G54">
        <f t="shared" si="0"/>
        <v>323</v>
      </c>
    </row>
    <row r="55" spans="1:7" x14ac:dyDescent="0.25">
      <c r="A55" t="s">
        <v>112</v>
      </c>
      <c r="B55">
        <v>100</v>
      </c>
      <c r="C55">
        <v>71</v>
      </c>
      <c r="D55">
        <v>33</v>
      </c>
      <c r="E55">
        <v>20</v>
      </c>
      <c r="F55">
        <v>20</v>
      </c>
      <c r="G55">
        <f t="shared" si="0"/>
        <v>204</v>
      </c>
    </row>
    <row r="56" spans="1:7" x14ac:dyDescent="0.25">
      <c r="A56" t="s">
        <v>113</v>
      </c>
      <c r="B56">
        <v>62</v>
      </c>
      <c r="C56">
        <v>85</v>
      </c>
      <c r="D56">
        <v>18</v>
      </c>
      <c r="E56">
        <v>0</v>
      </c>
      <c r="F56">
        <v>10</v>
      </c>
      <c r="G56">
        <f t="shared" si="0"/>
        <v>155</v>
      </c>
    </row>
    <row r="57" spans="1:7" x14ac:dyDescent="0.25">
      <c r="A57" t="s">
        <v>114</v>
      </c>
      <c r="B57">
        <v>177</v>
      </c>
      <c r="C57">
        <v>87</v>
      </c>
      <c r="D57">
        <v>58</v>
      </c>
      <c r="E57">
        <v>0</v>
      </c>
      <c r="F57">
        <v>20</v>
      </c>
      <c r="G57">
        <f t="shared" si="0"/>
        <v>302</v>
      </c>
    </row>
    <row r="58" spans="1:7" x14ac:dyDescent="0.25">
      <c r="A58" t="s">
        <v>115</v>
      </c>
      <c r="B58">
        <v>159</v>
      </c>
      <c r="C58">
        <v>81</v>
      </c>
      <c r="D58">
        <v>40</v>
      </c>
      <c r="E58">
        <v>0</v>
      </c>
      <c r="F58">
        <v>0</v>
      </c>
      <c r="G58">
        <f t="shared" si="0"/>
        <v>280</v>
      </c>
    </row>
    <row r="59" spans="1:7" x14ac:dyDescent="0.25">
      <c r="A59" t="s">
        <v>116</v>
      </c>
      <c r="B59">
        <v>156</v>
      </c>
      <c r="C59">
        <v>27</v>
      </c>
      <c r="D59">
        <v>44</v>
      </c>
      <c r="E59">
        <v>20</v>
      </c>
      <c r="F59">
        <v>20</v>
      </c>
      <c r="G59">
        <f t="shared" si="0"/>
        <v>227</v>
      </c>
    </row>
    <row r="60" spans="1:7" x14ac:dyDescent="0.25">
      <c r="A60" t="s">
        <v>117</v>
      </c>
      <c r="B60">
        <v>191</v>
      </c>
      <c r="C60">
        <v>30</v>
      </c>
      <c r="D60">
        <v>36</v>
      </c>
      <c r="E60">
        <v>0</v>
      </c>
      <c r="F60">
        <v>0</v>
      </c>
      <c r="G60">
        <f t="shared" si="0"/>
        <v>257</v>
      </c>
    </row>
    <row r="61" spans="1:7" x14ac:dyDescent="0.25">
      <c r="A61" t="s">
        <v>118</v>
      </c>
      <c r="B61">
        <v>68</v>
      </c>
      <c r="C61">
        <v>55</v>
      </c>
      <c r="D61">
        <v>17</v>
      </c>
      <c r="E61">
        <v>40</v>
      </c>
      <c r="F61">
        <v>0</v>
      </c>
      <c r="G61">
        <f t="shared" si="0"/>
        <v>180</v>
      </c>
    </row>
    <row r="62" spans="1:7" x14ac:dyDescent="0.25">
      <c r="A62" t="s">
        <v>119</v>
      </c>
      <c r="B62">
        <v>68</v>
      </c>
      <c r="C62">
        <v>38</v>
      </c>
      <c r="D62">
        <v>13</v>
      </c>
      <c r="E62">
        <v>0</v>
      </c>
      <c r="F62">
        <v>0</v>
      </c>
      <c r="G62">
        <f t="shared" si="0"/>
        <v>119</v>
      </c>
    </row>
    <row r="63" spans="1:7" x14ac:dyDescent="0.25">
      <c r="A63" t="s">
        <v>120</v>
      </c>
      <c r="B63">
        <v>192</v>
      </c>
      <c r="C63">
        <v>59</v>
      </c>
      <c r="D63">
        <v>48</v>
      </c>
      <c r="E63">
        <v>0</v>
      </c>
      <c r="F63">
        <v>20</v>
      </c>
      <c r="G63">
        <f t="shared" si="0"/>
        <v>279</v>
      </c>
    </row>
    <row r="64" spans="1:7" x14ac:dyDescent="0.25">
      <c r="A64" t="s">
        <v>121</v>
      </c>
      <c r="B64">
        <v>71</v>
      </c>
      <c r="C64">
        <v>89</v>
      </c>
      <c r="D64">
        <v>20</v>
      </c>
      <c r="E64">
        <v>0</v>
      </c>
      <c r="F64">
        <v>20</v>
      </c>
      <c r="G64">
        <f t="shared" si="0"/>
        <v>160</v>
      </c>
    </row>
    <row r="65" spans="1:7" x14ac:dyDescent="0.25">
      <c r="A65" t="s">
        <v>122</v>
      </c>
      <c r="B65">
        <v>62</v>
      </c>
      <c r="C65">
        <v>20</v>
      </c>
      <c r="D65">
        <v>78</v>
      </c>
      <c r="E65">
        <v>0</v>
      </c>
      <c r="F65">
        <v>10</v>
      </c>
      <c r="G65">
        <f t="shared" si="0"/>
        <v>150</v>
      </c>
    </row>
    <row r="66" spans="1:7" x14ac:dyDescent="0.25">
      <c r="A66" t="s">
        <v>123</v>
      </c>
      <c r="B66">
        <v>108</v>
      </c>
      <c r="C66">
        <v>25</v>
      </c>
      <c r="D66">
        <v>31</v>
      </c>
      <c r="E66">
        <v>40</v>
      </c>
      <c r="F66">
        <v>20</v>
      </c>
      <c r="G66">
        <f t="shared" si="0"/>
        <v>184</v>
      </c>
    </row>
    <row r="67" spans="1:7" x14ac:dyDescent="0.25">
      <c r="A67" t="s">
        <v>125</v>
      </c>
      <c r="B67">
        <v>162</v>
      </c>
      <c r="C67">
        <v>112</v>
      </c>
      <c r="D67">
        <v>29</v>
      </c>
      <c r="E67">
        <v>40</v>
      </c>
      <c r="F67">
        <v>0</v>
      </c>
      <c r="G67">
        <f t="shared" ref="G67:G130" si="1">SUM(B67:E67)-F67</f>
        <v>343</v>
      </c>
    </row>
    <row r="68" spans="1:7" x14ac:dyDescent="0.25">
      <c r="A68" t="s">
        <v>126</v>
      </c>
      <c r="B68">
        <v>128</v>
      </c>
      <c r="C68">
        <v>71</v>
      </c>
      <c r="D68">
        <v>22</v>
      </c>
      <c r="E68">
        <v>0</v>
      </c>
      <c r="F68">
        <v>20</v>
      </c>
      <c r="G68">
        <f t="shared" si="1"/>
        <v>201</v>
      </c>
    </row>
    <row r="69" spans="1:7" x14ac:dyDescent="0.25">
      <c r="A69" t="s">
        <v>127</v>
      </c>
      <c r="B69">
        <v>97</v>
      </c>
      <c r="C69">
        <v>116</v>
      </c>
      <c r="D69">
        <v>41</v>
      </c>
      <c r="E69">
        <v>0</v>
      </c>
      <c r="F69">
        <v>0</v>
      </c>
      <c r="G69">
        <f t="shared" si="1"/>
        <v>254</v>
      </c>
    </row>
    <row r="70" spans="1:7" x14ac:dyDescent="0.25">
      <c r="A70" t="s">
        <v>129</v>
      </c>
      <c r="B70">
        <v>186</v>
      </c>
      <c r="C70">
        <v>20</v>
      </c>
      <c r="D70">
        <v>24</v>
      </c>
      <c r="E70">
        <v>20</v>
      </c>
      <c r="F70">
        <v>10</v>
      </c>
      <c r="G70">
        <f t="shared" si="1"/>
        <v>240</v>
      </c>
    </row>
    <row r="71" spans="1:7" x14ac:dyDescent="0.25">
      <c r="A71" t="s">
        <v>130</v>
      </c>
      <c r="B71">
        <v>186</v>
      </c>
      <c r="C71">
        <v>90</v>
      </c>
      <c r="D71">
        <v>42</v>
      </c>
      <c r="E71">
        <v>0</v>
      </c>
      <c r="F71">
        <v>0</v>
      </c>
      <c r="G71">
        <f t="shared" si="1"/>
        <v>318</v>
      </c>
    </row>
    <row r="72" spans="1:7" x14ac:dyDescent="0.25">
      <c r="A72" t="s">
        <v>131</v>
      </c>
      <c r="B72">
        <v>100</v>
      </c>
      <c r="C72">
        <v>59</v>
      </c>
      <c r="D72">
        <v>75</v>
      </c>
      <c r="E72">
        <v>20</v>
      </c>
      <c r="F72">
        <v>10</v>
      </c>
      <c r="G72">
        <f t="shared" si="1"/>
        <v>244</v>
      </c>
    </row>
    <row r="73" spans="1:7" x14ac:dyDescent="0.25">
      <c r="A73" t="s">
        <v>132</v>
      </c>
      <c r="B73">
        <v>95</v>
      </c>
      <c r="C73">
        <v>102</v>
      </c>
      <c r="D73">
        <v>71</v>
      </c>
      <c r="E73">
        <v>0</v>
      </c>
      <c r="F73">
        <v>10</v>
      </c>
      <c r="G73">
        <f t="shared" si="1"/>
        <v>258</v>
      </c>
    </row>
    <row r="74" spans="1:7" x14ac:dyDescent="0.25">
      <c r="A74" t="s">
        <v>133</v>
      </c>
      <c r="B74">
        <v>73</v>
      </c>
      <c r="C74">
        <v>62</v>
      </c>
      <c r="D74">
        <v>79</v>
      </c>
      <c r="E74">
        <v>40</v>
      </c>
      <c r="F74">
        <v>10</v>
      </c>
      <c r="G74">
        <f t="shared" si="1"/>
        <v>244</v>
      </c>
    </row>
    <row r="75" spans="1:7" x14ac:dyDescent="0.25">
      <c r="A75" t="s">
        <v>134</v>
      </c>
      <c r="B75">
        <v>95</v>
      </c>
      <c r="C75">
        <v>119</v>
      </c>
      <c r="D75">
        <v>63</v>
      </c>
      <c r="E75">
        <v>40</v>
      </c>
      <c r="F75">
        <v>10</v>
      </c>
      <c r="G75">
        <f t="shared" si="1"/>
        <v>307</v>
      </c>
    </row>
    <row r="76" spans="1:7" x14ac:dyDescent="0.25">
      <c r="A76" t="s">
        <v>135</v>
      </c>
      <c r="B76">
        <v>159</v>
      </c>
      <c r="C76">
        <v>21</v>
      </c>
      <c r="D76">
        <v>21</v>
      </c>
      <c r="E76">
        <v>20</v>
      </c>
      <c r="F76">
        <v>20</v>
      </c>
      <c r="G76">
        <f t="shared" si="1"/>
        <v>201</v>
      </c>
    </row>
    <row r="77" spans="1:7" x14ac:dyDescent="0.25">
      <c r="A77" t="s">
        <v>136</v>
      </c>
      <c r="B77">
        <v>191</v>
      </c>
      <c r="C77">
        <v>85</v>
      </c>
      <c r="D77">
        <v>26</v>
      </c>
      <c r="E77">
        <v>20</v>
      </c>
      <c r="F77">
        <v>0</v>
      </c>
      <c r="G77">
        <f t="shared" si="1"/>
        <v>322</v>
      </c>
    </row>
    <row r="78" spans="1:7" x14ac:dyDescent="0.25">
      <c r="A78" t="s">
        <v>137</v>
      </c>
      <c r="B78">
        <v>153</v>
      </c>
      <c r="C78">
        <v>102</v>
      </c>
      <c r="D78">
        <v>76</v>
      </c>
      <c r="E78">
        <v>0</v>
      </c>
      <c r="F78">
        <v>0</v>
      </c>
      <c r="G78">
        <f t="shared" si="1"/>
        <v>331</v>
      </c>
    </row>
    <row r="79" spans="1:7" x14ac:dyDescent="0.25">
      <c r="A79" t="s">
        <v>138</v>
      </c>
      <c r="B79">
        <v>165</v>
      </c>
      <c r="C79">
        <v>68</v>
      </c>
      <c r="D79">
        <v>57</v>
      </c>
      <c r="E79">
        <v>20</v>
      </c>
      <c r="F79">
        <v>20</v>
      </c>
      <c r="G79">
        <f t="shared" si="1"/>
        <v>290</v>
      </c>
    </row>
    <row r="80" spans="1:7" x14ac:dyDescent="0.25">
      <c r="A80" t="s">
        <v>139</v>
      </c>
      <c r="B80">
        <v>90</v>
      </c>
      <c r="C80">
        <v>111</v>
      </c>
      <c r="D80">
        <v>66</v>
      </c>
      <c r="E80">
        <v>0</v>
      </c>
      <c r="F80">
        <v>0</v>
      </c>
      <c r="G80">
        <f t="shared" si="1"/>
        <v>267</v>
      </c>
    </row>
    <row r="81" spans="1:7" x14ac:dyDescent="0.25">
      <c r="A81" t="s">
        <v>140</v>
      </c>
      <c r="B81">
        <v>65</v>
      </c>
      <c r="C81">
        <v>113</v>
      </c>
      <c r="D81">
        <v>41</v>
      </c>
      <c r="E81">
        <v>40</v>
      </c>
      <c r="F81">
        <v>10</v>
      </c>
      <c r="G81">
        <f t="shared" si="1"/>
        <v>249</v>
      </c>
    </row>
    <row r="82" spans="1:7" x14ac:dyDescent="0.25">
      <c r="A82" t="s">
        <v>141</v>
      </c>
      <c r="B82">
        <v>106</v>
      </c>
      <c r="C82">
        <v>30</v>
      </c>
      <c r="D82">
        <v>71</v>
      </c>
      <c r="E82">
        <v>0</v>
      </c>
      <c r="F82">
        <v>0</v>
      </c>
      <c r="G82">
        <f t="shared" si="1"/>
        <v>207</v>
      </c>
    </row>
    <row r="83" spans="1:7" x14ac:dyDescent="0.25">
      <c r="A83" t="s">
        <v>142</v>
      </c>
      <c r="B83">
        <v>176</v>
      </c>
      <c r="C83">
        <v>110</v>
      </c>
      <c r="D83">
        <v>79</v>
      </c>
      <c r="E83">
        <v>40</v>
      </c>
      <c r="F83">
        <v>20</v>
      </c>
      <c r="G83">
        <f t="shared" si="1"/>
        <v>385</v>
      </c>
    </row>
    <row r="84" spans="1:7" x14ac:dyDescent="0.25">
      <c r="A84" t="s">
        <v>143</v>
      </c>
      <c r="B84">
        <v>172</v>
      </c>
      <c r="C84">
        <v>80</v>
      </c>
      <c r="D84">
        <v>12</v>
      </c>
      <c r="E84">
        <v>0</v>
      </c>
      <c r="F84">
        <v>0</v>
      </c>
      <c r="G84">
        <f t="shared" si="1"/>
        <v>264</v>
      </c>
    </row>
    <row r="85" spans="1:7" x14ac:dyDescent="0.25">
      <c r="A85" t="s">
        <v>144</v>
      </c>
      <c r="B85">
        <v>153</v>
      </c>
      <c r="C85">
        <v>65</v>
      </c>
      <c r="D85">
        <v>53</v>
      </c>
      <c r="E85">
        <v>20</v>
      </c>
      <c r="F85">
        <v>10</v>
      </c>
      <c r="G85">
        <f t="shared" si="1"/>
        <v>281</v>
      </c>
    </row>
    <row r="86" spans="1:7" x14ac:dyDescent="0.25">
      <c r="A86" t="s">
        <v>145</v>
      </c>
      <c r="B86">
        <v>89</v>
      </c>
      <c r="C86">
        <v>102</v>
      </c>
      <c r="D86">
        <v>76</v>
      </c>
      <c r="E86">
        <v>0</v>
      </c>
      <c r="F86">
        <v>10</v>
      </c>
      <c r="G86">
        <f t="shared" si="1"/>
        <v>257</v>
      </c>
    </row>
    <row r="87" spans="1:7" x14ac:dyDescent="0.25">
      <c r="A87" t="s">
        <v>146</v>
      </c>
      <c r="B87">
        <v>106</v>
      </c>
      <c r="C87">
        <v>64</v>
      </c>
      <c r="D87">
        <v>49</v>
      </c>
      <c r="E87">
        <v>0</v>
      </c>
      <c r="F87">
        <v>10</v>
      </c>
      <c r="G87">
        <f t="shared" si="1"/>
        <v>209</v>
      </c>
    </row>
    <row r="88" spans="1:7" x14ac:dyDescent="0.25">
      <c r="A88" t="s">
        <v>147</v>
      </c>
      <c r="B88">
        <v>114</v>
      </c>
      <c r="C88">
        <v>30</v>
      </c>
      <c r="D88">
        <v>26</v>
      </c>
      <c r="E88">
        <v>0</v>
      </c>
      <c r="F88">
        <v>20</v>
      </c>
      <c r="G88">
        <f t="shared" si="1"/>
        <v>150</v>
      </c>
    </row>
    <row r="89" spans="1:7" x14ac:dyDescent="0.25">
      <c r="A89" t="s">
        <v>148</v>
      </c>
      <c r="B89">
        <v>72</v>
      </c>
      <c r="C89">
        <v>43</v>
      </c>
      <c r="D89">
        <v>46</v>
      </c>
      <c r="E89">
        <v>20</v>
      </c>
      <c r="F89">
        <v>0</v>
      </c>
      <c r="G89">
        <f t="shared" si="1"/>
        <v>181</v>
      </c>
    </row>
    <row r="90" spans="1:7" x14ac:dyDescent="0.25">
      <c r="A90" t="s">
        <v>149</v>
      </c>
      <c r="B90">
        <v>80</v>
      </c>
      <c r="C90">
        <v>115</v>
      </c>
      <c r="D90">
        <v>58</v>
      </c>
      <c r="E90">
        <v>40</v>
      </c>
      <c r="F90">
        <v>20</v>
      </c>
      <c r="G90">
        <f t="shared" si="1"/>
        <v>273</v>
      </c>
    </row>
    <row r="91" spans="1:7" x14ac:dyDescent="0.25">
      <c r="A91" t="s">
        <v>150</v>
      </c>
      <c r="B91">
        <v>133</v>
      </c>
      <c r="C91">
        <v>38</v>
      </c>
      <c r="D91">
        <v>79</v>
      </c>
      <c r="E91">
        <v>20</v>
      </c>
      <c r="F91">
        <v>0</v>
      </c>
      <c r="G91">
        <f t="shared" si="1"/>
        <v>270</v>
      </c>
    </row>
    <row r="92" spans="1:7" x14ac:dyDescent="0.25">
      <c r="A92" t="s">
        <v>151</v>
      </c>
      <c r="B92">
        <v>128</v>
      </c>
      <c r="C92">
        <v>26</v>
      </c>
      <c r="D92">
        <v>67</v>
      </c>
      <c r="E92">
        <v>0</v>
      </c>
      <c r="F92">
        <v>0</v>
      </c>
      <c r="G92">
        <f t="shared" si="1"/>
        <v>221</v>
      </c>
    </row>
    <row r="93" spans="1:7" x14ac:dyDescent="0.25">
      <c r="A93" t="s">
        <v>152</v>
      </c>
      <c r="B93">
        <v>142</v>
      </c>
      <c r="C93">
        <v>99</v>
      </c>
      <c r="D93">
        <v>51</v>
      </c>
      <c r="E93">
        <v>0</v>
      </c>
      <c r="F93">
        <v>0</v>
      </c>
      <c r="G93">
        <f t="shared" si="1"/>
        <v>292</v>
      </c>
    </row>
    <row r="94" spans="1:7" x14ac:dyDescent="0.25">
      <c r="A94" t="s">
        <v>153</v>
      </c>
      <c r="B94">
        <v>106</v>
      </c>
      <c r="C94">
        <v>104</v>
      </c>
      <c r="D94">
        <v>38</v>
      </c>
      <c r="E94">
        <v>0</v>
      </c>
      <c r="F94">
        <v>0</v>
      </c>
      <c r="G94">
        <f t="shared" si="1"/>
        <v>248</v>
      </c>
    </row>
    <row r="95" spans="1:7" x14ac:dyDescent="0.25">
      <c r="A95" t="s">
        <v>154</v>
      </c>
      <c r="B95">
        <v>61</v>
      </c>
      <c r="C95">
        <v>27</v>
      </c>
      <c r="D95">
        <v>63</v>
      </c>
      <c r="E95">
        <v>40</v>
      </c>
      <c r="F95">
        <v>0</v>
      </c>
      <c r="G95">
        <f t="shared" si="1"/>
        <v>191</v>
      </c>
    </row>
    <row r="96" spans="1:7" x14ac:dyDescent="0.25">
      <c r="A96" t="s">
        <v>155</v>
      </c>
      <c r="B96">
        <v>151</v>
      </c>
      <c r="C96">
        <v>29</v>
      </c>
      <c r="D96">
        <v>19</v>
      </c>
      <c r="E96">
        <v>20</v>
      </c>
      <c r="F96">
        <v>20</v>
      </c>
      <c r="G96">
        <f t="shared" si="1"/>
        <v>199</v>
      </c>
    </row>
    <row r="97" spans="1:7" x14ac:dyDescent="0.25">
      <c r="A97" t="s">
        <v>156</v>
      </c>
      <c r="B97">
        <v>69</v>
      </c>
      <c r="C97">
        <v>117</v>
      </c>
      <c r="D97">
        <v>59</v>
      </c>
      <c r="E97">
        <v>20</v>
      </c>
      <c r="F97">
        <v>0</v>
      </c>
      <c r="G97">
        <f t="shared" si="1"/>
        <v>265</v>
      </c>
    </row>
    <row r="98" spans="1:7" x14ac:dyDescent="0.25">
      <c r="A98" t="s">
        <v>157</v>
      </c>
      <c r="B98">
        <v>77</v>
      </c>
      <c r="C98">
        <v>55</v>
      </c>
      <c r="D98">
        <v>52</v>
      </c>
      <c r="E98">
        <v>20</v>
      </c>
      <c r="F98">
        <v>0</v>
      </c>
      <c r="G98">
        <f t="shared" si="1"/>
        <v>204</v>
      </c>
    </row>
    <row r="99" spans="1:7" x14ac:dyDescent="0.25">
      <c r="A99" t="s">
        <v>158</v>
      </c>
      <c r="B99">
        <v>106</v>
      </c>
      <c r="C99">
        <v>66</v>
      </c>
      <c r="D99">
        <v>62</v>
      </c>
      <c r="E99">
        <v>40</v>
      </c>
      <c r="F99">
        <v>0</v>
      </c>
      <c r="G99">
        <f t="shared" si="1"/>
        <v>274</v>
      </c>
    </row>
    <row r="100" spans="1:7" x14ac:dyDescent="0.25">
      <c r="A100" t="s">
        <v>159</v>
      </c>
      <c r="B100">
        <v>86</v>
      </c>
      <c r="C100">
        <v>57</v>
      </c>
      <c r="D100">
        <v>28</v>
      </c>
      <c r="E100">
        <v>0</v>
      </c>
      <c r="F100">
        <v>10</v>
      </c>
      <c r="G100">
        <f t="shared" si="1"/>
        <v>161</v>
      </c>
    </row>
    <row r="101" spans="1:7" x14ac:dyDescent="0.25">
      <c r="A101" t="s">
        <v>160</v>
      </c>
      <c r="B101">
        <v>110</v>
      </c>
      <c r="C101">
        <v>116</v>
      </c>
      <c r="D101">
        <v>73</v>
      </c>
      <c r="E101">
        <v>0</v>
      </c>
      <c r="F101">
        <v>0</v>
      </c>
      <c r="G101">
        <f t="shared" si="1"/>
        <v>299</v>
      </c>
    </row>
    <row r="102" spans="1:7" x14ac:dyDescent="0.25">
      <c r="A102" t="s">
        <v>161</v>
      </c>
      <c r="B102">
        <v>115</v>
      </c>
      <c r="C102">
        <v>116</v>
      </c>
      <c r="D102">
        <v>50</v>
      </c>
      <c r="E102">
        <v>20</v>
      </c>
      <c r="F102">
        <v>20</v>
      </c>
      <c r="G102">
        <f t="shared" si="1"/>
        <v>281</v>
      </c>
    </row>
    <row r="103" spans="1:7" x14ac:dyDescent="0.25">
      <c r="A103" t="s">
        <v>162</v>
      </c>
      <c r="B103">
        <v>105</v>
      </c>
      <c r="C103">
        <v>78</v>
      </c>
      <c r="D103">
        <v>44</v>
      </c>
      <c r="E103">
        <v>20</v>
      </c>
      <c r="F103">
        <v>20</v>
      </c>
      <c r="G103">
        <f t="shared" si="1"/>
        <v>227</v>
      </c>
    </row>
    <row r="104" spans="1:7" x14ac:dyDescent="0.25">
      <c r="A104" t="s">
        <v>163</v>
      </c>
      <c r="B104">
        <v>115</v>
      </c>
      <c r="C104">
        <v>87</v>
      </c>
      <c r="D104">
        <v>79</v>
      </c>
      <c r="E104">
        <v>0</v>
      </c>
      <c r="F104">
        <v>0</v>
      </c>
      <c r="G104">
        <f t="shared" si="1"/>
        <v>281</v>
      </c>
    </row>
    <row r="105" spans="1:7" x14ac:dyDescent="0.25">
      <c r="A105" t="s">
        <v>164</v>
      </c>
      <c r="B105">
        <v>99</v>
      </c>
      <c r="C105">
        <v>112</v>
      </c>
      <c r="D105">
        <v>46</v>
      </c>
      <c r="E105">
        <v>20</v>
      </c>
      <c r="F105">
        <v>10</v>
      </c>
      <c r="G105">
        <f t="shared" si="1"/>
        <v>267</v>
      </c>
    </row>
    <row r="106" spans="1:7" x14ac:dyDescent="0.25">
      <c r="A106" t="s">
        <v>165</v>
      </c>
      <c r="B106">
        <v>109</v>
      </c>
      <c r="C106">
        <v>28</v>
      </c>
      <c r="D106">
        <v>22</v>
      </c>
      <c r="E106">
        <v>20</v>
      </c>
      <c r="F106">
        <v>20</v>
      </c>
      <c r="G106">
        <f t="shared" si="1"/>
        <v>159</v>
      </c>
    </row>
    <row r="107" spans="1:7" x14ac:dyDescent="0.25">
      <c r="A107" t="s">
        <v>166</v>
      </c>
      <c r="B107">
        <v>173</v>
      </c>
      <c r="C107">
        <v>85</v>
      </c>
      <c r="D107">
        <v>63</v>
      </c>
      <c r="E107">
        <v>0</v>
      </c>
      <c r="F107">
        <v>10</v>
      </c>
      <c r="G107">
        <f t="shared" si="1"/>
        <v>311</v>
      </c>
    </row>
    <row r="108" spans="1:7" x14ac:dyDescent="0.25">
      <c r="A108" t="s">
        <v>167</v>
      </c>
      <c r="B108">
        <v>164</v>
      </c>
      <c r="C108">
        <v>106</v>
      </c>
      <c r="D108">
        <v>62</v>
      </c>
      <c r="E108">
        <v>40</v>
      </c>
      <c r="F108">
        <v>0</v>
      </c>
      <c r="G108">
        <f t="shared" si="1"/>
        <v>372</v>
      </c>
    </row>
    <row r="109" spans="1:7" x14ac:dyDescent="0.25">
      <c r="A109" t="s">
        <v>168</v>
      </c>
      <c r="B109">
        <v>157</v>
      </c>
      <c r="C109">
        <v>31</v>
      </c>
      <c r="D109">
        <v>77</v>
      </c>
      <c r="E109">
        <v>0</v>
      </c>
      <c r="F109">
        <v>0</v>
      </c>
      <c r="G109">
        <f t="shared" si="1"/>
        <v>265</v>
      </c>
    </row>
    <row r="110" spans="1:7" x14ac:dyDescent="0.25">
      <c r="A110" t="s">
        <v>169</v>
      </c>
      <c r="B110">
        <v>109</v>
      </c>
      <c r="C110">
        <v>88</v>
      </c>
      <c r="D110">
        <v>79</v>
      </c>
      <c r="E110">
        <v>40</v>
      </c>
      <c r="F110">
        <v>10</v>
      </c>
      <c r="G110">
        <f t="shared" si="1"/>
        <v>306</v>
      </c>
    </row>
    <row r="111" spans="1:7" x14ac:dyDescent="0.25">
      <c r="A111" t="s">
        <v>170</v>
      </c>
      <c r="B111">
        <v>148</v>
      </c>
      <c r="C111">
        <v>59</v>
      </c>
      <c r="D111">
        <v>79</v>
      </c>
      <c r="E111">
        <v>40</v>
      </c>
      <c r="F111">
        <v>10</v>
      </c>
      <c r="G111">
        <f t="shared" si="1"/>
        <v>316</v>
      </c>
    </row>
    <row r="112" spans="1:7" x14ac:dyDescent="0.25">
      <c r="A112" t="s">
        <v>171</v>
      </c>
      <c r="B112">
        <v>191</v>
      </c>
      <c r="C112">
        <v>95</v>
      </c>
      <c r="D112">
        <v>40</v>
      </c>
      <c r="E112">
        <v>0</v>
      </c>
      <c r="F112">
        <v>0</v>
      </c>
      <c r="G112">
        <f t="shared" si="1"/>
        <v>326</v>
      </c>
    </row>
    <row r="113" spans="1:7" x14ac:dyDescent="0.25">
      <c r="A113" t="s">
        <v>172</v>
      </c>
      <c r="B113">
        <v>135</v>
      </c>
      <c r="C113">
        <v>53</v>
      </c>
      <c r="D113">
        <v>76</v>
      </c>
      <c r="E113">
        <v>0</v>
      </c>
      <c r="F113">
        <v>20</v>
      </c>
      <c r="G113">
        <f t="shared" si="1"/>
        <v>244</v>
      </c>
    </row>
    <row r="114" spans="1:7" x14ac:dyDescent="0.25">
      <c r="A114" t="s">
        <v>173</v>
      </c>
      <c r="B114">
        <v>142</v>
      </c>
      <c r="C114">
        <v>69</v>
      </c>
      <c r="D114">
        <v>40</v>
      </c>
      <c r="E114">
        <v>20</v>
      </c>
      <c r="F114">
        <v>0</v>
      </c>
      <c r="G114">
        <f t="shared" si="1"/>
        <v>271</v>
      </c>
    </row>
    <row r="115" spans="1:7" x14ac:dyDescent="0.25">
      <c r="A115" t="s">
        <v>174</v>
      </c>
      <c r="B115">
        <v>74</v>
      </c>
      <c r="C115">
        <v>20</v>
      </c>
      <c r="D115">
        <v>52</v>
      </c>
      <c r="E115">
        <v>0</v>
      </c>
      <c r="F115">
        <v>10</v>
      </c>
      <c r="G115">
        <f t="shared" si="1"/>
        <v>136</v>
      </c>
    </row>
    <row r="116" spans="1:7" x14ac:dyDescent="0.25">
      <c r="A116" t="s">
        <v>175</v>
      </c>
      <c r="B116">
        <v>142</v>
      </c>
      <c r="C116">
        <v>119</v>
      </c>
      <c r="D116">
        <v>42</v>
      </c>
      <c r="E116">
        <v>20</v>
      </c>
      <c r="F116">
        <v>0</v>
      </c>
      <c r="G116">
        <f t="shared" si="1"/>
        <v>323</v>
      </c>
    </row>
    <row r="117" spans="1:7" x14ac:dyDescent="0.25">
      <c r="A117" t="s">
        <v>176</v>
      </c>
      <c r="B117">
        <v>116</v>
      </c>
      <c r="C117">
        <v>58</v>
      </c>
      <c r="D117">
        <v>66</v>
      </c>
      <c r="E117">
        <v>0</v>
      </c>
      <c r="F117">
        <v>0</v>
      </c>
      <c r="G117">
        <f t="shared" si="1"/>
        <v>240</v>
      </c>
    </row>
    <row r="118" spans="1:7" x14ac:dyDescent="0.25">
      <c r="A118" t="s">
        <v>177</v>
      </c>
      <c r="B118">
        <v>189</v>
      </c>
      <c r="C118">
        <v>38</v>
      </c>
      <c r="D118">
        <v>53</v>
      </c>
      <c r="E118">
        <v>0</v>
      </c>
      <c r="F118">
        <v>0</v>
      </c>
      <c r="G118">
        <f t="shared" si="1"/>
        <v>280</v>
      </c>
    </row>
    <row r="119" spans="1:7" x14ac:dyDescent="0.25">
      <c r="A119" t="s">
        <v>178</v>
      </c>
      <c r="B119">
        <v>121</v>
      </c>
      <c r="C119">
        <v>21</v>
      </c>
      <c r="D119">
        <v>22</v>
      </c>
      <c r="E119">
        <v>0</v>
      </c>
      <c r="F119">
        <v>20</v>
      </c>
      <c r="G119">
        <f t="shared" si="1"/>
        <v>144</v>
      </c>
    </row>
    <row r="120" spans="1:7" x14ac:dyDescent="0.25">
      <c r="A120" t="s">
        <v>179</v>
      </c>
      <c r="B120">
        <v>146</v>
      </c>
      <c r="C120">
        <v>32</v>
      </c>
      <c r="D120">
        <v>50</v>
      </c>
      <c r="E120">
        <v>0</v>
      </c>
      <c r="F120">
        <v>10</v>
      </c>
      <c r="G120">
        <f t="shared" si="1"/>
        <v>218</v>
      </c>
    </row>
    <row r="121" spans="1:7" x14ac:dyDescent="0.25">
      <c r="A121" t="s">
        <v>180</v>
      </c>
      <c r="B121">
        <v>126</v>
      </c>
      <c r="C121">
        <v>63</v>
      </c>
      <c r="D121">
        <v>33</v>
      </c>
      <c r="E121">
        <v>0</v>
      </c>
      <c r="F121">
        <v>10</v>
      </c>
      <c r="G121">
        <f t="shared" si="1"/>
        <v>212</v>
      </c>
    </row>
    <row r="122" spans="1:7" x14ac:dyDescent="0.25">
      <c r="A122" t="s">
        <v>181</v>
      </c>
      <c r="B122">
        <v>72</v>
      </c>
      <c r="C122">
        <v>71</v>
      </c>
      <c r="D122">
        <v>23</v>
      </c>
      <c r="E122">
        <v>40</v>
      </c>
      <c r="F122">
        <v>0</v>
      </c>
      <c r="G122">
        <f t="shared" si="1"/>
        <v>206</v>
      </c>
    </row>
    <row r="123" spans="1:7" x14ac:dyDescent="0.25">
      <c r="A123" t="s">
        <v>182</v>
      </c>
      <c r="B123">
        <v>90</v>
      </c>
      <c r="C123">
        <v>31</v>
      </c>
      <c r="D123">
        <v>68</v>
      </c>
      <c r="E123">
        <v>20</v>
      </c>
      <c r="F123">
        <v>0</v>
      </c>
      <c r="G123">
        <f t="shared" si="1"/>
        <v>209</v>
      </c>
    </row>
    <row r="124" spans="1:7" x14ac:dyDescent="0.25">
      <c r="A124" t="s">
        <v>183</v>
      </c>
      <c r="B124">
        <v>84</v>
      </c>
      <c r="C124">
        <v>33</v>
      </c>
      <c r="D124">
        <v>73</v>
      </c>
      <c r="E124">
        <v>20</v>
      </c>
      <c r="F124">
        <v>0</v>
      </c>
      <c r="G124">
        <f t="shared" si="1"/>
        <v>210</v>
      </c>
    </row>
    <row r="125" spans="1:7" x14ac:dyDescent="0.25">
      <c r="A125" t="s">
        <v>184</v>
      </c>
      <c r="B125">
        <v>118</v>
      </c>
      <c r="C125">
        <v>63</v>
      </c>
      <c r="D125">
        <v>12</v>
      </c>
      <c r="E125">
        <v>40</v>
      </c>
      <c r="F125">
        <v>10</v>
      </c>
      <c r="G125">
        <f t="shared" si="1"/>
        <v>223</v>
      </c>
    </row>
    <row r="126" spans="1:7" x14ac:dyDescent="0.25">
      <c r="A126" t="s">
        <v>185</v>
      </c>
      <c r="B126">
        <v>188</v>
      </c>
      <c r="C126">
        <v>29</v>
      </c>
      <c r="D126">
        <v>74</v>
      </c>
      <c r="E126">
        <v>0</v>
      </c>
      <c r="F126">
        <v>0</v>
      </c>
      <c r="G126">
        <f t="shared" si="1"/>
        <v>291</v>
      </c>
    </row>
    <row r="127" spans="1:7" x14ac:dyDescent="0.25">
      <c r="A127" t="s">
        <v>186</v>
      </c>
      <c r="B127">
        <v>190</v>
      </c>
      <c r="C127">
        <v>62</v>
      </c>
      <c r="D127">
        <v>76</v>
      </c>
      <c r="E127">
        <v>40</v>
      </c>
      <c r="F127">
        <v>10</v>
      </c>
      <c r="G127">
        <f t="shared" si="1"/>
        <v>358</v>
      </c>
    </row>
    <row r="128" spans="1:7" x14ac:dyDescent="0.25">
      <c r="A128" t="s">
        <v>187</v>
      </c>
      <c r="B128">
        <v>101</v>
      </c>
      <c r="C128">
        <v>104</v>
      </c>
      <c r="D128">
        <v>29</v>
      </c>
      <c r="E128">
        <v>0</v>
      </c>
      <c r="F128">
        <v>10</v>
      </c>
      <c r="G128">
        <f t="shared" si="1"/>
        <v>224</v>
      </c>
    </row>
    <row r="129" spans="1:7" x14ac:dyDescent="0.25">
      <c r="A129" t="s">
        <v>188</v>
      </c>
      <c r="B129">
        <v>81</v>
      </c>
      <c r="C129">
        <v>79</v>
      </c>
      <c r="D129">
        <v>64</v>
      </c>
      <c r="E129">
        <v>0</v>
      </c>
      <c r="F129">
        <v>0</v>
      </c>
      <c r="G129">
        <f t="shared" si="1"/>
        <v>224</v>
      </c>
    </row>
    <row r="130" spans="1:7" x14ac:dyDescent="0.25">
      <c r="A130" t="s">
        <v>189</v>
      </c>
      <c r="B130">
        <v>79</v>
      </c>
      <c r="C130">
        <v>51</v>
      </c>
      <c r="D130">
        <v>19</v>
      </c>
      <c r="E130">
        <v>0</v>
      </c>
      <c r="F130">
        <v>0</v>
      </c>
      <c r="G130">
        <f t="shared" si="1"/>
        <v>149</v>
      </c>
    </row>
    <row r="131" spans="1:7" x14ac:dyDescent="0.25">
      <c r="A131" t="s">
        <v>190</v>
      </c>
      <c r="B131">
        <v>173</v>
      </c>
      <c r="C131">
        <v>105</v>
      </c>
      <c r="D131">
        <v>39</v>
      </c>
      <c r="E131">
        <v>40</v>
      </c>
      <c r="F131">
        <v>0</v>
      </c>
      <c r="G131">
        <f t="shared" ref="G131:G181" si="2">SUM(B131:E131)-F131</f>
        <v>357</v>
      </c>
    </row>
    <row r="132" spans="1:7" x14ac:dyDescent="0.25">
      <c r="A132" t="s">
        <v>191</v>
      </c>
      <c r="B132">
        <v>179</v>
      </c>
      <c r="C132">
        <v>110</v>
      </c>
      <c r="D132">
        <v>22</v>
      </c>
      <c r="E132">
        <v>0</v>
      </c>
      <c r="F132">
        <v>20</v>
      </c>
      <c r="G132">
        <f t="shared" si="2"/>
        <v>291</v>
      </c>
    </row>
    <row r="133" spans="1:7" x14ac:dyDescent="0.25">
      <c r="A133" t="s">
        <v>192</v>
      </c>
      <c r="B133">
        <v>69</v>
      </c>
      <c r="C133">
        <v>38</v>
      </c>
      <c r="D133">
        <v>65</v>
      </c>
      <c r="E133">
        <v>20</v>
      </c>
      <c r="F133">
        <v>0</v>
      </c>
      <c r="G133">
        <f t="shared" si="2"/>
        <v>192</v>
      </c>
    </row>
    <row r="134" spans="1:7" x14ac:dyDescent="0.25">
      <c r="A134" t="s">
        <v>193</v>
      </c>
      <c r="B134">
        <v>200</v>
      </c>
      <c r="C134">
        <v>37</v>
      </c>
      <c r="D134">
        <v>74</v>
      </c>
      <c r="E134">
        <v>0</v>
      </c>
      <c r="F134">
        <v>0</v>
      </c>
      <c r="G134">
        <f t="shared" si="2"/>
        <v>311</v>
      </c>
    </row>
    <row r="135" spans="1:7" x14ac:dyDescent="0.25">
      <c r="A135" t="s">
        <v>194</v>
      </c>
      <c r="B135">
        <v>65</v>
      </c>
      <c r="C135">
        <v>116</v>
      </c>
      <c r="D135">
        <v>63</v>
      </c>
      <c r="E135">
        <v>40</v>
      </c>
      <c r="F135">
        <v>0</v>
      </c>
      <c r="G135">
        <f t="shared" si="2"/>
        <v>284</v>
      </c>
    </row>
    <row r="136" spans="1:7" x14ac:dyDescent="0.25">
      <c r="A136" t="s">
        <v>195</v>
      </c>
      <c r="B136">
        <v>123</v>
      </c>
      <c r="C136">
        <v>41</v>
      </c>
      <c r="D136">
        <v>65</v>
      </c>
      <c r="E136">
        <v>40</v>
      </c>
      <c r="F136">
        <v>20</v>
      </c>
      <c r="G136">
        <f t="shared" si="2"/>
        <v>249</v>
      </c>
    </row>
    <row r="137" spans="1:7" x14ac:dyDescent="0.25">
      <c r="A137" t="s">
        <v>196</v>
      </c>
      <c r="B137">
        <v>64</v>
      </c>
      <c r="C137">
        <v>24</v>
      </c>
      <c r="D137">
        <v>70</v>
      </c>
      <c r="E137">
        <v>0</v>
      </c>
      <c r="F137">
        <v>0</v>
      </c>
      <c r="G137">
        <f t="shared" si="2"/>
        <v>158</v>
      </c>
    </row>
    <row r="138" spans="1:7" x14ac:dyDescent="0.25">
      <c r="A138" t="s">
        <v>197</v>
      </c>
      <c r="B138">
        <v>108</v>
      </c>
      <c r="C138">
        <v>20</v>
      </c>
      <c r="D138">
        <v>30</v>
      </c>
      <c r="E138">
        <v>0</v>
      </c>
      <c r="F138">
        <v>20</v>
      </c>
      <c r="G138">
        <f t="shared" si="2"/>
        <v>138</v>
      </c>
    </row>
    <row r="139" spans="1:7" x14ac:dyDescent="0.25">
      <c r="A139" t="s">
        <v>198</v>
      </c>
      <c r="B139">
        <v>158</v>
      </c>
      <c r="C139">
        <v>27</v>
      </c>
      <c r="D139">
        <v>56</v>
      </c>
      <c r="E139">
        <v>0</v>
      </c>
      <c r="F139">
        <v>0</v>
      </c>
      <c r="G139">
        <f t="shared" si="2"/>
        <v>241</v>
      </c>
    </row>
    <row r="140" spans="1:7" x14ac:dyDescent="0.25">
      <c r="A140" t="s">
        <v>199</v>
      </c>
      <c r="B140">
        <v>83</v>
      </c>
      <c r="C140">
        <v>27</v>
      </c>
      <c r="D140">
        <v>37</v>
      </c>
      <c r="E140">
        <v>40</v>
      </c>
      <c r="F140">
        <v>0</v>
      </c>
      <c r="G140">
        <f t="shared" si="2"/>
        <v>187</v>
      </c>
    </row>
    <row r="141" spans="1:7" x14ac:dyDescent="0.25">
      <c r="A141" t="s">
        <v>200</v>
      </c>
      <c r="B141">
        <v>137</v>
      </c>
      <c r="C141">
        <v>104</v>
      </c>
      <c r="D141">
        <v>27</v>
      </c>
      <c r="E141">
        <v>20</v>
      </c>
      <c r="F141">
        <v>0</v>
      </c>
      <c r="G141">
        <f t="shared" si="2"/>
        <v>288</v>
      </c>
    </row>
    <row r="142" spans="1:7" x14ac:dyDescent="0.25">
      <c r="A142" t="s">
        <v>201</v>
      </c>
      <c r="B142">
        <v>125</v>
      </c>
      <c r="C142">
        <v>85</v>
      </c>
      <c r="D142">
        <v>10</v>
      </c>
      <c r="E142">
        <v>0</v>
      </c>
      <c r="F142">
        <v>0</v>
      </c>
      <c r="G142">
        <f t="shared" si="2"/>
        <v>220</v>
      </c>
    </row>
    <row r="143" spans="1:7" x14ac:dyDescent="0.25">
      <c r="A143" t="s">
        <v>202</v>
      </c>
      <c r="B143">
        <v>83</v>
      </c>
      <c r="C143">
        <v>36</v>
      </c>
      <c r="D143">
        <v>57</v>
      </c>
      <c r="E143">
        <v>20</v>
      </c>
      <c r="F143">
        <v>0</v>
      </c>
      <c r="G143">
        <f t="shared" si="2"/>
        <v>196</v>
      </c>
    </row>
    <row r="144" spans="1:7" x14ac:dyDescent="0.25">
      <c r="A144" t="s">
        <v>203</v>
      </c>
      <c r="B144">
        <v>89</v>
      </c>
      <c r="C144">
        <v>31</v>
      </c>
      <c r="D144">
        <v>30</v>
      </c>
      <c r="E144">
        <v>0</v>
      </c>
      <c r="F144">
        <v>0</v>
      </c>
      <c r="G144">
        <f t="shared" si="2"/>
        <v>150</v>
      </c>
    </row>
    <row r="145" spans="1:7" x14ac:dyDescent="0.25">
      <c r="A145" t="s">
        <v>204</v>
      </c>
      <c r="B145">
        <v>116</v>
      </c>
      <c r="C145">
        <v>98</v>
      </c>
      <c r="D145">
        <v>50</v>
      </c>
      <c r="E145">
        <v>0</v>
      </c>
      <c r="F145">
        <v>0</v>
      </c>
      <c r="G145">
        <f t="shared" si="2"/>
        <v>264</v>
      </c>
    </row>
    <row r="146" spans="1:7" x14ac:dyDescent="0.25">
      <c r="A146" t="s">
        <v>205</v>
      </c>
      <c r="B146">
        <v>80</v>
      </c>
      <c r="C146">
        <v>110</v>
      </c>
      <c r="D146">
        <v>57</v>
      </c>
      <c r="E146">
        <v>0</v>
      </c>
      <c r="F146">
        <v>0</v>
      </c>
      <c r="G146">
        <f t="shared" si="2"/>
        <v>247</v>
      </c>
    </row>
    <row r="147" spans="1:7" x14ac:dyDescent="0.25">
      <c r="A147" t="s">
        <v>206</v>
      </c>
      <c r="B147">
        <v>153</v>
      </c>
      <c r="C147">
        <v>94</v>
      </c>
      <c r="D147">
        <v>52</v>
      </c>
      <c r="E147">
        <v>0</v>
      </c>
      <c r="F147">
        <v>0</v>
      </c>
      <c r="G147">
        <f t="shared" si="2"/>
        <v>299</v>
      </c>
    </row>
    <row r="148" spans="1:7" x14ac:dyDescent="0.25">
      <c r="A148" t="s">
        <v>207</v>
      </c>
      <c r="B148">
        <v>133</v>
      </c>
      <c r="C148">
        <v>68</v>
      </c>
      <c r="D148">
        <v>51</v>
      </c>
      <c r="E148">
        <v>40</v>
      </c>
      <c r="F148">
        <v>0</v>
      </c>
      <c r="G148">
        <f t="shared" si="2"/>
        <v>292</v>
      </c>
    </row>
    <row r="149" spans="1:7" x14ac:dyDescent="0.25">
      <c r="A149" t="s">
        <v>208</v>
      </c>
      <c r="B149">
        <v>77</v>
      </c>
      <c r="C149">
        <v>52</v>
      </c>
      <c r="D149">
        <v>70</v>
      </c>
      <c r="E149">
        <v>0</v>
      </c>
      <c r="F149">
        <v>10</v>
      </c>
      <c r="G149">
        <f t="shared" si="2"/>
        <v>189</v>
      </c>
    </row>
    <row r="150" spans="1:7" x14ac:dyDescent="0.25">
      <c r="A150" t="s">
        <v>209</v>
      </c>
      <c r="B150">
        <v>184</v>
      </c>
      <c r="C150">
        <v>98</v>
      </c>
      <c r="D150">
        <v>65</v>
      </c>
      <c r="E150">
        <v>20</v>
      </c>
      <c r="F150">
        <v>10</v>
      </c>
      <c r="G150">
        <f t="shared" si="2"/>
        <v>357</v>
      </c>
    </row>
    <row r="151" spans="1:7" x14ac:dyDescent="0.25">
      <c r="A151" t="s">
        <v>210</v>
      </c>
      <c r="B151">
        <v>159</v>
      </c>
      <c r="C151">
        <v>63</v>
      </c>
      <c r="D151">
        <v>14</v>
      </c>
      <c r="E151">
        <v>20</v>
      </c>
      <c r="F151">
        <v>10</v>
      </c>
      <c r="G151">
        <f t="shared" si="2"/>
        <v>246</v>
      </c>
    </row>
    <row r="152" spans="1:7" x14ac:dyDescent="0.25">
      <c r="A152" t="s">
        <v>211</v>
      </c>
      <c r="B152">
        <v>143</v>
      </c>
      <c r="C152">
        <v>117</v>
      </c>
      <c r="D152">
        <v>70</v>
      </c>
      <c r="E152">
        <v>20</v>
      </c>
      <c r="F152">
        <v>10</v>
      </c>
      <c r="G152">
        <f t="shared" si="2"/>
        <v>340</v>
      </c>
    </row>
    <row r="153" spans="1:7" x14ac:dyDescent="0.25">
      <c r="A153" t="s">
        <v>212</v>
      </c>
      <c r="B153">
        <v>65</v>
      </c>
      <c r="C153">
        <v>23</v>
      </c>
      <c r="D153">
        <v>60</v>
      </c>
      <c r="E153">
        <v>20</v>
      </c>
      <c r="F153">
        <v>0</v>
      </c>
      <c r="G153">
        <f t="shared" si="2"/>
        <v>168</v>
      </c>
    </row>
    <row r="154" spans="1:7" x14ac:dyDescent="0.25">
      <c r="A154" t="s">
        <v>213</v>
      </c>
      <c r="B154">
        <v>84</v>
      </c>
      <c r="C154">
        <v>112</v>
      </c>
      <c r="D154">
        <v>21</v>
      </c>
      <c r="E154">
        <v>20</v>
      </c>
      <c r="F154">
        <v>10</v>
      </c>
      <c r="G154">
        <f t="shared" si="2"/>
        <v>227</v>
      </c>
    </row>
    <row r="155" spans="1:7" x14ac:dyDescent="0.25">
      <c r="A155" t="s">
        <v>214</v>
      </c>
      <c r="B155">
        <v>74</v>
      </c>
      <c r="C155">
        <v>82</v>
      </c>
      <c r="D155">
        <v>77</v>
      </c>
      <c r="E155">
        <v>0</v>
      </c>
      <c r="F155">
        <v>20</v>
      </c>
      <c r="G155">
        <f t="shared" si="2"/>
        <v>213</v>
      </c>
    </row>
    <row r="156" spans="1:7" x14ac:dyDescent="0.25">
      <c r="A156" t="s">
        <v>215</v>
      </c>
      <c r="B156">
        <v>197</v>
      </c>
      <c r="C156">
        <v>118</v>
      </c>
      <c r="D156">
        <v>63</v>
      </c>
      <c r="E156">
        <v>0</v>
      </c>
      <c r="F156">
        <v>20</v>
      </c>
      <c r="G156">
        <f t="shared" si="2"/>
        <v>358</v>
      </c>
    </row>
    <row r="157" spans="1:7" x14ac:dyDescent="0.25">
      <c r="A157" t="s">
        <v>216</v>
      </c>
      <c r="B157">
        <v>137</v>
      </c>
      <c r="C157">
        <v>38</v>
      </c>
      <c r="D157">
        <v>65</v>
      </c>
      <c r="E157">
        <v>0</v>
      </c>
      <c r="F157">
        <v>20</v>
      </c>
      <c r="G157">
        <f t="shared" si="2"/>
        <v>220</v>
      </c>
    </row>
    <row r="158" spans="1:7" x14ac:dyDescent="0.25">
      <c r="A158" t="s">
        <v>217</v>
      </c>
      <c r="B158">
        <v>189</v>
      </c>
      <c r="C158">
        <v>40</v>
      </c>
      <c r="D158">
        <v>25</v>
      </c>
      <c r="E158">
        <v>40</v>
      </c>
      <c r="F158">
        <v>0</v>
      </c>
      <c r="G158">
        <f t="shared" si="2"/>
        <v>294</v>
      </c>
    </row>
    <row r="159" spans="1:7" x14ac:dyDescent="0.25">
      <c r="A159" t="s">
        <v>218</v>
      </c>
      <c r="B159">
        <v>93</v>
      </c>
      <c r="C159">
        <v>37</v>
      </c>
      <c r="D159">
        <v>51</v>
      </c>
      <c r="E159">
        <v>20</v>
      </c>
      <c r="F159">
        <v>10</v>
      </c>
      <c r="G159">
        <f t="shared" si="2"/>
        <v>191</v>
      </c>
    </row>
    <row r="160" spans="1:7" x14ac:dyDescent="0.25">
      <c r="A160" t="s">
        <v>219</v>
      </c>
      <c r="B160">
        <v>65</v>
      </c>
      <c r="C160">
        <v>85</v>
      </c>
      <c r="D160">
        <v>19</v>
      </c>
      <c r="E160">
        <v>0</v>
      </c>
      <c r="F160">
        <v>10</v>
      </c>
      <c r="G160">
        <f t="shared" si="2"/>
        <v>159</v>
      </c>
    </row>
    <row r="161" spans="1:7" x14ac:dyDescent="0.25">
      <c r="A161" t="s">
        <v>220</v>
      </c>
      <c r="B161">
        <v>185</v>
      </c>
      <c r="C161">
        <v>62</v>
      </c>
      <c r="D161">
        <v>24</v>
      </c>
      <c r="E161">
        <v>40</v>
      </c>
      <c r="F161">
        <v>20</v>
      </c>
      <c r="G161">
        <f t="shared" si="2"/>
        <v>291</v>
      </c>
    </row>
    <row r="162" spans="1:7" x14ac:dyDescent="0.25">
      <c r="A162" t="s">
        <v>221</v>
      </c>
      <c r="B162">
        <v>120</v>
      </c>
      <c r="C162">
        <v>86</v>
      </c>
      <c r="D162">
        <v>17</v>
      </c>
      <c r="E162">
        <v>0</v>
      </c>
      <c r="F162">
        <v>0</v>
      </c>
      <c r="G162">
        <f t="shared" si="2"/>
        <v>223</v>
      </c>
    </row>
    <row r="163" spans="1:7" x14ac:dyDescent="0.25">
      <c r="A163" t="s">
        <v>222</v>
      </c>
      <c r="B163">
        <v>94</v>
      </c>
      <c r="C163">
        <v>104</v>
      </c>
      <c r="D163">
        <v>38</v>
      </c>
      <c r="E163">
        <v>0</v>
      </c>
      <c r="F163">
        <v>20</v>
      </c>
      <c r="G163">
        <f t="shared" si="2"/>
        <v>216</v>
      </c>
    </row>
    <row r="164" spans="1:7" x14ac:dyDescent="0.25">
      <c r="A164" t="s">
        <v>223</v>
      </c>
      <c r="B164">
        <v>190</v>
      </c>
      <c r="C164">
        <v>93</v>
      </c>
      <c r="D164">
        <v>15</v>
      </c>
      <c r="E164">
        <v>40</v>
      </c>
      <c r="F164">
        <v>10</v>
      </c>
      <c r="G164">
        <f t="shared" si="2"/>
        <v>328</v>
      </c>
    </row>
    <row r="165" spans="1:7" x14ac:dyDescent="0.25">
      <c r="A165" t="s">
        <v>224</v>
      </c>
      <c r="B165">
        <v>151</v>
      </c>
      <c r="C165">
        <v>110</v>
      </c>
      <c r="D165">
        <v>64</v>
      </c>
      <c r="E165">
        <v>40</v>
      </c>
      <c r="F165">
        <v>10</v>
      </c>
      <c r="G165">
        <f t="shared" si="2"/>
        <v>355</v>
      </c>
    </row>
    <row r="166" spans="1:7" x14ac:dyDescent="0.25">
      <c r="A166" t="s">
        <v>225</v>
      </c>
      <c r="B166">
        <v>200</v>
      </c>
      <c r="C166">
        <v>86</v>
      </c>
      <c r="D166">
        <v>53</v>
      </c>
      <c r="E166">
        <v>40</v>
      </c>
      <c r="F166">
        <v>20</v>
      </c>
      <c r="G166">
        <f t="shared" si="2"/>
        <v>359</v>
      </c>
    </row>
    <row r="167" spans="1:7" x14ac:dyDescent="0.25">
      <c r="A167" t="s">
        <v>226</v>
      </c>
      <c r="B167">
        <v>137</v>
      </c>
      <c r="C167">
        <v>51</v>
      </c>
      <c r="D167">
        <v>56</v>
      </c>
      <c r="E167">
        <v>20</v>
      </c>
      <c r="F167">
        <v>0</v>
      </c>
      <c r="G167">
        <f t="shared" si="2"/>
        <v>264</v>
      </c>
    </row>
    <row r="168" spans="1:7" x14ac:dyDescent="0.25">
      <c r="A168" t="s">
        <v>227</v>
      </c>
      <c r="B168">
        <v>75</v>
      </c>
      <c r="C168">
        <v>92</v>
      </c>
      <c r="D168">
        <v>64</v>
      </c>
      <c r="E168">
        <v>20</v>
      </c>
      <c r="F168">
        <v>20</v>
      </c>
      <c r="G168">
        <f t="shared" si="2"/>
        <v>231</v>
      </c>
    </row>
    <row r="169" spans="1:7" x14ac:dyDescent="0.25">
      <c r="A169" t="s">
        <v>228</v>
      </c>
      <c r="B169">
        <v>170</v>
      </c>
      <c r="C169">
        <v>49</v>
      </c>
      <c r="D169">
        <v>47</v>
      </c>
      <c r="E169">
        <v>40</v>
      </c>
      <c r="F169">
        <v>20</v>
      </c>
      <c r="G169">
        <f t="shared" si="2"/>
        <v>286</v>
      </c>
    </row>
    <row r="170" spans="1:7" x14ac:dyDescent="0.25">
      <c r="A170" t="s">
        <v>229</v>
      </c>
      <c r="B170">
        <v>197</v>
      </c>
      <c r="C170">
        <v>95</v>
      </c>
      <c r="D170">
        <v>40</v>
      </c>
      <c r="E170">
        <v>0</v>
      </c>
      <c r="F170">
        <v>0</v>
      </c>
      <c r="G170">
        <f t="shared" si="2"/>
        <v>332</v>
      </c>
    </row>
    <row r="171" spans="1:7" x14ac:dyDescent="0.25">
      <c r="A171" t="s">
        <v>230</v>
      </c>
      <c r="B171">
        <v>80</v>
      </c>
      <c r="C171">
        <v>118</v>
      </c>
      <c r="D171">
        <v>57</v>
      </c>
      <c r="E171">
        <v>0</v>
      </c>
      <c r="F171">
        <v>10</v>
      </c>
      <c r="G171">
        <f t="shared" si="2"/>
        <v>245</v>
      </c>
    </row>
    <row r="172" spans="1:7" x14ac:dyDescent="0.25">
      <c r="A172" t="s">
        <v>231</v>
      </c>
      <c r="B172">
        <v>64</v>
      </c>
      <c r="C172">
        <v>107</v>
      </c>
      <c r="D172">
        <v>32</v>
      </c>
      <c r="E172">
        <v>40</v>
      </c>
      <c r="F172">
        <v>0</v>
      </c>
      <c r="G172">
        <f t="shared" si="2"/>
        <v>243</v>
      </c>
    </row>
    <row r="173" spans="1:7" x14ac:dyDescent="0.25">
      <c r="A173" t="s">
        <v>232</v>
      </c>
      <c r="B173">
        <v>145</v>
      </c>
      <c r="C173">
        <v>112</v>
      </c>
      <c r="D173">
        <v>66</v>
      </c>
      <c r="E173">
        <v>40</v>
      </c>
      <c r="F173">
        <v>0</v>
      </c>
      <c r="G173">
        <f t="shared" si="2"/>
        <v>363</v>
      </c>
    </row>
    <row r="174" spans="1:7" x14ac:dyDescent="0.25">
      <c r="A174" t="s">
        <v>233</v>
      </c>
      <c r="B174">
        <v>134</v>
      </c>
      <c r="C174">
        <v>56</v>
      </c>
      <c r="D174">
        <v>77</v>
      </c>
      <c r="E174">
        <v>0</v>
      </c>
      <c r="F174">
        <v>0</v>
      </c>
      <c r="G174">
        <f t="shared" si="2"/>
        <v>267</v>
      </c>
    </row>
    <row r="175" spans="1:7" x14ac:dyDescent="0.25">
      <c r="A175" t="s">
        <v>234</v>
      </c>
      <c r="B175">
        <v>93</v>
      </c>
      <c r="C175">
        <v>43</v>
      </c>
      <c r="D175">
        <v>70</v>
      </c>
      <c r="E175">
        <v>0</v>
      </c>
      <c r="F175">
        <v>0</v>
      </c>
      <c r="G175">
        <f t="shared" si="2"/>
        <v>206</v>
      </c>
    </row>
    <row r="176" spans="1:7" x14ac:dyDescent="0.25">
      <c r="A176" t="s">
        <v>235</v>
      </c>
      <c r="B176">
        <v>79</v>
      </c>
      <c r="C176">
        <v>74</v>
      </c>
      <c r="D176">
        <v>70</v>
      </c>
      <c r="E176">
        <v>40</v>
      </c>
      <c r="F176">
        <v>10</v>
      </c>
      <c r="G176">
        <f t="shared" si="2"/>
        <v>253</v>
      </c>
    </row>
    <row r="177" spans="1:7" x14ac:dyDescent="0.25">
      <c r="A177" t="s">
        <v>236</v>
      </c>
      <c r="B177">
        <v>147</v>
      </c>
      <c r="C177">
        <v>105</v>
      </c>
      <c r="D177">
        <v>58</v>
      </c>
      <c r="E177">
        <v>0</v>
      </c>
      <c r="F177">
        <v>20</v>
      </c>
      <c r="G177">
        <f t="shared" si="2"/>
        <v>290</v>
      </c>
    </row>
    <row r="178" spans="1:7" x14ac:dyDescent="0.25">
      <c r="A178" t="s">
        <v>237</v>
      </c>
      <c r="B178">
        <v>148</v>
      </c>
      <c r="C178">
        <v>69</v>
      </c>
      <c r="D178">
        <v>28</v>
      </c>
      <c r="E178">
        <v>40</v>
      </c>
      <c r="F178">
        <v>0</v>
      </c>
      <c r="G178">
        <f t="shared" si="2"/>
        <v>285</v>
      </c>
    </row>
    <row r="179" spans="1:7" x14ac:dyDescent="0.25">
      <c r="A179" t="s">
        <v>238</v>
      </c>
      <c r="B179">
        <v>73</v>
      </c>
      <c r="C179">
        <v>108</v>
      </c>
      <c r="D179">
        <v>36</v>
      </c>
      <c r="E179">
        <v>0</v>
      </c>
      <c r="F179">
        <v>10</v>
      </c>
      <c r="G179">
        <f t="shared" si="2"/>
        <v>207</v>
      </c>
    </row>
    <row r="180" spans="1:7" x14ac:dyDescent="0.25">
      <c r="A180" t="s">
        <v>239</v>
      </c>
      <c r="B180">
        <v>72</v>
      </c>
      <c r="C180">
        <v>38</v>
      </c>
      <c r="D180">
        <v>58</v>
      </c>
      <c r="E180">
        <v>0</v>
      </c>
      <c r="F180">
        <v>20</v>
      </c>
      <c r="G180">
        <f t="shared" si="2"/>
        <v>148</v>
      </c>
    </row>
    <row r="181" spans="1:7" x14ac:dyDescent="0.25">
      <c r="A181" t="s">
        <v>240</v>
      </c>
      <c r="B181">
        <v>166</v>
      </c>
      <c r="C181">
        <v>119</v>
      </c>
      <c r="D181">
        <v>76</v>
      </c>
      <c r="E181">
        <v>20</v>
      </c>
      <c r="F181">
        <v>20</v>
      </c>
      <c r="G181">
        <f t="shared" si="2"/>
        <v>361</v>
      </c>
    </row>
  </sheetData>
  <dataValidations count="1">
    <dataValidation type="decimal" allowBlank="1" showInputMessage="1" showErrorMessage="1" sqref="F1" xr:uid="{EAD6A4BA-CDAE-4FF7-9676-C06350C783EC}">
      <formula1>0</formula1>
      <formula2>SUM(B2:E2)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5" x14ac:dyDescent="0.25"/>
  <sheetData>
    <row r="1" spans="1:6" x14ac:dyDescent="0.25">
      <c r="A1" t="s">
        <v>255</v>
      </c>
      <c r="B1" t="s">
        <v>5</v>
      </c>
      <c r="C1" t="s">
        <v>6</v>
      </c>
      <c r="D1" t="s">
        <v>256</v>
      </c>
      <c r="E1" t="s">
        <v>2</v>
      </c>
      <c r="F1" t="s">
        <v>257</v>
      </c>
    </row>
    <row r="2" spans="1:6" x14ac:dyDescent="0.25">
      <c r="A2" t="s">
        <v>258</v>
      </c>
      <c r="B2" t="s">
        <v>16</v>
      </c>
      <c r="C2" t="s">
        <v>17</v>
      </c>
      <c r="D2" t="s">
        <v>259</v>
      </c>
      <c r="E2" t="s">
        <v>45</v>
      </c>
      <c r="F2">
        <v>1200</v>
      </c>
    </row>
    <row r="3" spans="1:6" x14ac:dyDescent="0.25">
      <c r="A3" t="s">
        <v>260</v>
      </c>
      <c r="B3" t="s">
        <v>55</v>
      </c>
      <c r="C3" t="s">
        <v>17</v>
      </c>
      <c r="D3" t="s">
        <v>261</v>
      </c>
      <c r="E3" t="s">
        <v>98</v>
      </c>
      <c r="F3">
        <v>2000</v>
      </c>
    </row>
    <row r="4" spans="1:6" x14ac:dyDescent="0.25">
      <c r="A4" t="s">
        <v>262</v>
      </c>
      <c r="B4" t="s">
        <v>31</v>
      </c>
      <c r="C4" t="s">
        <v>26</v>
      </c>
      <c r="D4" t="s">
        <v>263</v>
      </c>
      <c r="E4" t="s">
        <v>30</v>
      </c>
      <c r="F4">
        <v>1200</v>
      </c>
    </row>
    <row r="5" spans="1:6" x14ac:dyDescent="0.25">
      <c r="A5" t="s">
        <v>264</v>
      </c>
      <c r="B5" t="s">
        <v>67</v>
      </c>
      <c r="C5" t="s">
        <v>17</v>
      </c>
      <c r="D5" t="s">
        <v>261</v>
      </c>
      <c r="E5" t="s">
        <v>30</v>
      </c>
      <c r="F5">
        <v>3500</v>
      </c>
    </row>
    <row r="6" spans="1:6" x14ac:dyDescent="0.25">
      <c r="A6" t="s">
        <v>265</v>
      </c>
      <c r="B6" t="s">
        <v>31</v>
      </c>
      <c r="C6" t="s">
        <v>26</v>
      </c>
      <c r="D6" t="s">
        <v>261</v>
      </c>
      <c r="E6" t="s">
        <v>22</v>
      </c>
      <c r="F6">
        <v>1200</v>
      </c>
    </row>
    <row r="7" spans="1:6" x14ac:dyDescent="0.25">
      <c r="A7" t="s">
        <v>266</v>
      </c>
      <c r="B7" t="s">
        <v>55</v>
      </c>
      <c r="C7" t="s">
        <v>17</v>
      </c>
      <c r="D7" t="s">
        <v>263</v>
      </c>
      <c r="E7" t="s">
        <v>62</v>
      </c>
      <c r="F7">
        <v>2000</v>
      </c>
    </row>
    <row r="8" spans="1:6" x14ac:dyDescent="0.25">
      <c r="A8" t="s">
        <v>267</v>
      </c>
      <c r="B8" t="s">
        <v>25</v>
      </c>
      <c r="C8" t="s">
        <v>26</v>
      </c>
      <c r="D8" t="s">
        <v>259</v>
      </c>
      <c r="E8" t="s">
        <v>22</v>
      </c>
      <c r="F8">
        <v>3500</v>
      </c>
    </row>
    <row r="9" spans="1:6" x14ac:dyDescent="0.25">
      <c r="A9" t="s">
        <v>268</v>
      </c>
      <c r="B9" t="s">
        <v>42</v>
      </c>
      <c r="C9" t="s">
        <v>17</v>
      </c>
      <c r="D9" t="s">
        <v>261</v>
      </c>
      <c r="E9" t="s">
        <v>30</v>
      </c>
      <c r="F9">
        <v>1200</v>
      </c>
    </row>
    <row r="10" spans="1:6" x14ac:dyDescent="0.25">
      <c r="A10" t="s">
        <v>269</v>
      </c>
      <c r="B10" t="s">
        <v>16</v>
      </c>
      <c r="C10" t="s">
        <v>17</v>
      </c>
      <c r="D10" t="s">
        <v>259</v>
      </c>
      <c r="E10" t="s">
        <v>41</v>
      </c>
      <c r="F10">
        <v>800</v>
      </c>
    </row>
    <row r="11" spans="1:6" x14ac:dyDescent="0.25">
      <c r="A11" t="s">
        <v>270</v>
      </c>
      <c r="B11" t="s">
        <v>55</v>
      </c>
      <c r="C11" t="s">
        <v>17</v>
      </c>
      <c r="D11" t="s">
        <v>261</v>
      </c>
      <c r="E11" t="s">
        <v>45</v>
      </c>
      <c r="F11">
        <v>800</v>
      </c>
    </row>
    <row r="12" spans="1:6" x14ac:dyDescent="0.25">
      <c r="A12" t="s">
        <v>271</v>
      </c>
      <c r="B12" t="s">
        <v>31</v>
      </c>
      <c r="C12" t="s">
        <v>26</v>
      </c>
      <c r="D12" t="s">
        <v>263</v>
      </c>
      <c r="E12" t="s">
        <v>45</v>
      </c>
      <c r="F12">
        <v>1200</v>
      </c>
    </row>
    <row r="13" spans="1:6" x14ac:dyDescent="0.25">
      <c r="A13" t="s">
        <v>272</v>
      </c>
      <c r="B13" t="s">
        <v>42</v>
      </c>
      <c r="C13" t="s">
        <v>17</v>
      </c>
      <c r="D13" t="s">
        <v>261</v>
      </c>
      <c r="E13" t="s">
        <v>98</v>
      </c>
      <c r="F13">
        <v>800</v>
      </c>
    </row>
    <row r="14" spans="1:6" x14ac:dyDescent="0.25">
      <c r="A14" t="s">
        <v>273</v>
      </c>
      <c r="B14" t="s">
        <v>42</v>
      </c>
      <c r="C14" t="s">
        <v>17</v>
      </c>
      <c r="D14" t="s">
        <v>263</v>
      </c>
      <c r="E14" t="s">
        <v>30</v>
      </c>
      <c r="F14">
        <v>800</v>
      </c>
    </row>
    <row r="15" spans="1:6" x14ac:dyDescent="0.25">
      <c r="A15" t="s">
        <v>274</v>
      </c>
      <c r="B15" t="s">
        <v>42</v>
      </c>
      <c r="C15" t="s">
        <v>17</v>
      </c>
      <c r="D15" t="s">
        <v>259</v>
      </c>
      <c r="E15" t="s">
        <v>41</v>
      </c>
      <c r="F15">
        <v>2000</v>
      </c>
    </row>
    <row r="16" spans="1:6" x14ac:dyDescent="0.25">
      <c r="A16" t="s">
        <v>275</v>
      </c>
      <c r="B16" t="s">
        <v>67</v>
      </c>
      <c r="C16" t="s">
        <v>17</v>
      </c>
      <c r="D16" t="s">
        <v>259</v>
      </c>
      <c r="E16" t="s">
        <v>53</v>
      </c>
      <c r="F16">
        <v>800</v>
      </c>
    </row>
    <row r="17" spans="1:6" x14ac:dyDescent="0.25">
      <c r="A17" t="s">
        <v>276</v>
      </c>
      <c r="B17" t="s">
        <v>67</v>
      </c>
      <c r="C17" t="s">
        <v>17</v>
      </c>
      <c r="D17" t="s">
        <v>259</v>
      </c>
      <c r="E17" t="s">
        <v>53</v>
      </c>
      <c r="F17">
        <v>3500</v>
      </c>
    </row>
    <row r="18" spans="1:6" x14ac:dyDescent="0.25">
      <c r="A18" t="s">
        <v>277</v>
      </c>
      <c r="B18" t="s">
        <v>55</v>
      </c>
      <c r="C18" t="s">
        <v>17</v>
      </c>
      <c r="D18" t="s">
        <v>261</v>
      </c>
      <c r="E18" t="s">
        <v>98</v>
      </c>
      <c r="F18">
        <v>3500</v>
      </c>
    </row>
    <row r="19" spans="1:6" x14ac:dyDescent="0.25">
      <c r="A19" t="s">
        <v>278</v>
      </c>
      <c r="B19" t="s">
        <v>31</v>
      </c>
      <c r="C19" t="s">
        <v>26</v>
      </c>
      <c r="D19" t="s">
        <v>263</v>
      </c>
      <c r="E19" t="s">
        <v>98</v>
      </c>
      <c r="F19">
        <v>2000</v>
      </c>
    </row>
    <row r="20" spans="1:6" x14ac:dyDescent="0.25">
      <c r="A20" t="s">
        <v>279</v>
      </c>
      <c r="B20" t="s">
        <v>31</v>
      </c>
      <c r="C20" t="s">
        <v>26</v>
      </c>
      <c r="D20" t="s">
        <v>263</v>
      </c>
      <c r="E20" t="s">
        <v>36</v>
      </c>
      <c r="F20">
        <v>800</v>
      </c>
    </row>
    <row r="21" spans="1:6" x14ac:dyDescent="0.25">
      <c r="A21" t="s">
        <v>280</v>
      </c>
      <c r="B21" t="s">
        <v>67</v>
      </c>
      <c r="C21" t="s">
        <v>17</v>
      </c>
      <c r="D21" t="s">
        <v>263</v>
      </c>
      <c r="E21" t="s">
        <v>36</v>
      </c>
      <c r="F21">
        <v>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sheetData>
    <row r="1" spans="1:4" x14ac:dyDescent="0.25">
      <c r="A1" t="s">
        <v>11</v>
      </c>
      <c r="B1" t="s">
        <v>281</v>
      </c>
      <c r="C1" t="s">
        <v>2</v>
      </c>
      <c r="D1" t="s">
        <v>282</v>
      </c>
    </row>
    <row r="2" spans="1:4" x14ac:dyDescent="0.25">
      <c r="A2" t="s">
        <v>79</v>
      </c>
      <c r="B2" t="s">
        <v>283</v>
      </c>
      <c r="C2" t="s">
        <v>62</v>
      </c>
      <c r="D2">
        <v>5</v>
      </c>
    </row>
    <row r="3" spans="1:4" x14ac:dyDescent="0.25">
      <c r="A3" t="s">
        <v>39</v>
      </c>
      <c r="B3" t="s">
        <v>284</v>
      </c>
      <c r="C3" t="s">
        <v>41</v>
      </c>
      <c r="D3">
        <v>4</v>
      </c>
    </row>
    <row r="4" spans="1:4" x14ac:dyDescent="0.25">
      <c r="A4" t="s">
        <v>82</v>
      </c>
      <c r="B4" t="s">
        <v>285</v>
      </c>
      <c r="C4" t="s">
        <v>45</v>
      </c>
      <c r="D4">
        <v>5</v>
      </c>
    </row>
    <row r="5" spans="1:4" x14ac:dyDescent="0.25">
      <c r="A5" t="s">
        <v>51</v>
      </c>
      <c r="B5" t="s">
        <v>285</v>
      </c>
      <c r="C5" t="s">
        <v>62</v>
      </c>
      <c r="D5">
        <v>3</v>
      </c>
    </row>
    <row r="6" spans="1:4" x14ac:dyDescent="0.25">
      <c r="A6" t="s">
        <v>43</v>
      </c>
      <c r="B6" t="s">
        <v>283</v>
      </c>
      <c r="C6" t="s">
        <v>30</v>
      </c>
      <c r="D6">
        <v>5</v>
      </c>
    </row>
    <row r="7" spans="1:4" x14ac:dyDescent="0.25">
      <c r="A7" t="s">
        <v>70</v>
      </c>
      <c r="B7" t="s">
        <v>284</v>
      </c>
      <c r="C7" t="s">
        <v>13</v>
      </c>
      <c r="D7">
        <v>3</v>
      </c>
    </row>
    <row r="8" spans="1:4" x14ac:dyDescent="0.25">
      <c r="A8" t="s">
        <v>60</v>
      </c>
      <c r="B8" t="s">
        <v>283</v>
      </c>
      <c r="C8" t="s">
        <v>13</v>
      </c>
      <c r="D8">
        <v>5</v>
      </c>
    </row>
    <row r="9" spans="1:4" x14ac:dyDescent="0.25">
      <c r="A9" t="s">
        <v>65</v>
      </c>
      <c r="B9" t="s">
        <v>283</v>
      </c>
      <c r="C9" t="s">
        <v>57</v>
      </c>
      <c r="D9">
        <v>5</v>
      </c>
    </row>
    <row r="10" spans="1:4" x14ac:dyDescent="0.25">
      <c r="A10" t="s">
        <v>58</v>
      </c>
      <c r="B10" t="s">
        <v>283</v>
      </c>
      <c r="C10" t="s">
        <v>45</v>
      </c>
      <c r="D10">
        <v>3</v>
      </c>
    </row>
    <row r="11" spans="1:4" x14ac:dyDescent="0.25">
      <c r="A11" t="s">
        <v>124</v>
      </c>
      <c r="B11" t="s">
        <v>283</v>
      </c>
      <c r="C11" t="s">
        <v>13</v>
      </c>
      <c r="D11">
        <v>5</v>
      </c>
    </row>
    <row r="12" spans="1:4" x14ac:dyDescent="0.25">
      <c r="A12" t="s">
        <v>47</v>
      </c>
      <c r="B12" t="s">
        <v>285</v>
      </c>
      <c r="C12" t="s">
        <v>41</v>
      </c>
      <c r="D12">
        <v>3</v>
      </c>
    </row>
    <row r="13" spans="1:4" x14ac:dyDescent="0.25">
      <c r="A13" t="s">
        <v>128</v>
      </c>
      <c r="B13" t="s">
        <v>285</v>
      </c>
      <c r="C13" t="s">
        <v>36</v>
      </c>
      <c r="D13">
        <v>3</v>
      </c>
    </row>
    <row r="14" spans="1:4" x14ac:dyDescent="0.25">
      <c r="A14" t="s">
        <v>95</v>
      </c>
      <c r="B14" t="s">
        <v>285</v>
      </c>
      <c r="C14" t="s">
        <v>62</v>
      </c>
      <c r="D14">
        <v>3</v>
      </c>
    </row>
    <row r="15" spans="1:4" x14ac:dyDescent="0.25">
      <c r="A15" t="s">
        <v>28</v>
      </c>
      <c r="B15" t="s">
        <v>284</v>
      </c>
      <c r="C15" t="s">
        <v>22</v>
      </c>
      <c r="D15">
        <v>5</v>
      </c>
    </row>
    <row r="16" spans="1:4" x14ac:dyDescent="0.25">
      <c r="A16" t="s">
        <v>20</v>
      </c>
      <c r="B16" t="s">
        <v>283</v>
      </c>
      <c r="C16" t="s">
        <v>62</v>
      </c>
      <c r="D16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36B2-E152-48F7-964E-6F4A4E1283C7}">
  <dimension ref="A1:E8"/>
  <sheetViews>
    <sheetView workbookViewId="0">
      <selection activeCell="C5" sqref="C5"/>
    </sheetView>
  </sheetViews>
  <sheetFormatPr defaultRowHeight="15" x14ac:dyDescent="0.25"/>
  <cols>
    <col min="1" max="1" width="20.5703125" bestFit="1" customWidth="1"/>
    <col min="2" max="2" width="13.7109375" bestFit="1" customWidth="1"/>
    <col min="3" max="3" width="10.140625" bestFit="1" customWidth="1"/>
    <col min="4" max="4" width="1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10</v>
      </c>
      <c r="E1" t="s">
        <v>8</v>
      </c>
    </row>
    <row r="2" spans="1:5" x14ac:dyDescent="0.25">
      <c r="A2" t="s">
        <v>24</v>
      </c>
      <c r="B2" t="s">
        <v>67</v>
      </c>
      <c r="C2" t="s">
        <v>17</v>
      </c>
      <c r="D2" t="s">
        <v>34</v>
      </c>
      <c r="E2" t="s">
        <v>50</v>
      </c>
    </row>
    <row r="3" spans="1:5" x14ac:dyDescent="0.25">
      <c r="A3" t="s">
        <v>49</v>
      </c>
      <c r="B3" t="s">
        <v>55</v>
      </c>
      <c r="C3" t="s">
        <v>26</v>
      </c>
      <c r="D3" t="s">
        <v>19</v>
      </c>
      <c r="E3" t="s">
        <v>27</v>
      </c>
    </row>
    <row r="4" spans="1:5" x14ac:dyDescent="0.25">
      <c r="A4" t="s">
        <v>38</v>
      </c>
      <c r="B4" t="s">
        <v>16</v>
      </c>
      <c r="C4" t="s">
        <v>287</v>
      </c>
      <c r="D4" t="s">
        <v>32</v>
      </c>
      <c r="E4" t="s">
        <v>18</v>
      </c>
    </row>
    <row r="5" spans="1:5" x14ac:dyDescent="0.25">
      <c r="A5" t="s">
        <v>69</v>
      </c>
      <c r="B5" t="s">
        <v>42</v>
      </c>
      <c r="C5" t="s">
        <v>288</v>
      </c>
      <c r="D5" t="s">
        <v>289</v>
      </c>
    </row>
    <row r="6" spans="1:5" x14ac:dyDescent="0.25">
      <c r="A6" t="s">
        <v>54</v>
      </c>
      <c r="B6" t="s">
        <v>286</v>
      </c>
      <c r="D6" t="s">
        <v>290</v>
      </c>
    </row>
    <row r="7" spans="1:5" x14ac:dyDescent="0.25">
      <c r="A7" t="s">
        <v>15</v>
      </c>
      <c r="B7" t="s">
        <v>25</v>
      </c>
    </row>
    <row r="8" spans="1:5" x14ac:dyDescent="0.25"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KPI_SummaryKPI	Value</vt:lpstr>
      <vt:lpstr>Sheet3</vt:lpstr>
      <vt:lpstr>Daily_Deliveries</vt:lpstr>
      <vt:lpstr>Cost_Details</vt:lpstr>
      <vt:lpstr>Sheet4</vt:lpstr>
      <vt:lpstr>Revenue_Details</vt:lpstr>
      <vt:lpstr>Vehicle_Master</vt:lpstr>
      <vt:lpstr>Driver_Master</vt:lpstr>
      <vt:lpstr>Master_Lists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Khubaib Ishtiaq</cp:lastModifiedBy>
  <dcterms:created xsi:type="dcterms:W3CDTF">2026-01-10T20:24:16Z</dcterms:created>
  <dcterms:modified xsi:type="dcterms:W3CDTF">2026-01-10T21:41:03Z</dcterms:modified>
</cp:coreProperties>
</file>